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8_{0D49702F-C04C-4AC1-AFDE-07D547DDAA61}" xr6:coauthVersionLast="47" xr6:coauthVersionMax="47" xr10:uidLastSave="{00000000-0000-0000-0000-000000000000}"/>
  <bookViews>
    <workbookView xWindow="-108" yWindow="-108" windowWidth="23256" windowHeight="13176" activeTab="1" xr2:uid="{D7DD5D69-0DA9-4A94-81F1-202F8F0E0ADE}"/>
  </bookViews>
  <sheets>
    <sheet name="Day1" sheetId="1" r:id="rId1"/>
    <sheet name="Day2" sheetId="2" r:id="rId2"/>
    <sheet name="Day3" sheetId="3" r:id="rId3"/>
    <sheet name="Day4" sheetId="4" r:id="rId4"/>
    <sheet name="Day5" sheetId="5" r:id="rId5"/>
    <sheet name="Day6" sheetId="6" r:id="rId6"/>
    <sheet name="Day7" sheetId="7" r:id="rId7"/>
    <sheet name="Day8" sheetId="8" r:id="rId8"/>
    <sheet name="Day9" sheetId="9" r:id="rId9"/>
    <sheet name="Day10" sheetId="10" r:id="rId10"/>
    <sheet name="Day11" sheetId="11" r:id="rId11"/>
    <sheet name="Day12" sheetId="12" r:id="rId12"/>
    <sheet name="Day13" sheetId="13" r:id="rId13"/>
    <sheet name="Day14" sheetId="14" r:id="rId14"/>
    <sheet name="Day15" sheetId="15" r:id="rId15"/>
  </sheets>
  <definedNames>
    <definedName name="Slicer_Is_Fail">#N/A</definedName>
    <definedName name="Slicer_Last_Name">#N/A</definedName>
    <definedName name="Slicer_Student_ID">#N/A</definedName>
  </definedNames>
  <calcPr calcId="191029"/>
  <pivotCaches>
    <pivotCache cacheId="7"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 i="12" l="1"/>
  <c r="O6" i="12"/>
  <c r="O7" i="12"/>
  <c r="O8" i="12"/>
  <c r="M5" i="12"/>
  <c r="N5" i="12" s="1"/>
  <c r="M6" i="12"/>
  <c r="N6" i="12" s="1"/>
  <c r="M7" i="12"/>
  <c r="N7" i="12" s="1"/>
  <c r="M8" i="12"/>
  <c r="N8" i="12" s="1"/>
  <c r="M9" i="12"/>
  <c r="N9" i="12" s="1"/>
  <c r="L9" i="12"/>
  <c r="I9" i="12"/>
  <c r="K9" i="12" s="1"/>
  <c r="L8" i="12"/>
  <c r="I8" i="12"/>
  <c r="K8" i="12" s="1"/>
  <c r="L7" i="12"/>
  <c r="I7" i="12"/>
  <c r="K7" i="12" s="1"/>
  <c r="L6" i="12"/>
  <c r="I6" i="12"/>
  <c r="J6" i="12" s="1"/>
  <c r="L5" i="12"/>
  <c r="I5" i="12"/>
  <c r="K5" i="12" s="1"/>
  <c r="M5" i="11"/>
  <c r="M6" i="11"/>
  <c r="M7" i="11"/>
  <c r="M8" i="11"/>
  <c r="M9" i="11"/>
  <c r="L9" i="11"/>
  <c r="I9" i="11"/>
  <c r="K9" i="11" s="1"/>
  <c r="L8" i="11"/>
  <c r="I8" i="11"/>
  <c r="J8" i="11" s="1"/>
  <c r="L7" i="11"/>
  <c r="I7" i="11"/>
  <c r="K7" i="11" s="1"/>
  <c r="L6" i="11"/>
  <c r="I6" i="11"/>
  <c r="J6" i="11" s="1"/>
  <c r="L5" i="11"/>
  <c r="I5" i="11"/>
  <c r="J5" i="11" s="1"/>
  <c r="G17" i="10"/>
  <c r="G15" i="10"/>
  <c r="G13" i="10"/>
  <c r="G11" i="10"/>
  <c r="S9" i="10"/>
  <c r="R9" i="10"/>
  <c r="Q9" i="10"/>
  <c r="P9" i="10"/>
  <c r="O9" i="10"/>
  <c r="N9" i="10"/>
  <c r="M9" i="10"/>
  <c r="L9" i="10"/>
  <c r="I9" i="10"/>
  <c r="J9" i="10" s="1"/>
  <c r="S8" i="10"/>
  <c r="R8" i="10"/>
  <c r="Q8" i="10"/>
  <c r="P8" i="10"/>
  <c r="O8" i="10"/>
  <c r="N8" i="10"/>
  <c r="M8" i="10"/>
  <c r="L8" i="10"/>
  <c r="I8" i="10"/>
  <c r="K8" i="10" s="1"/>
  <c r="S7" i="10"/>
  <c r="R7" i="10"/>
  <c r="Q7" i="10"/>
  <c r="P7" i="10"/>
  <c r="O7" i="10"/>
  <c r="N7" i="10"/>
  <c r="M7" i="10"/>
  <c r="L7" i="10"/>
  <c r="I7" i="10"/>
  <c r="J7" i="10" s="1"/>
  <c r="S6" i="10"/>
  <c r="R6" i="10"/>
  <c r="Q6" i="10"/>
  <c r="P6" i="10"/>
  <c r="O6" i="10"/>
  <c r="N6" i="10"/>
  <c r="M6" i="10"/>
  <c r="L6" i="10"/>
  <c r="I6" i="10"/>
  <c r="K6" i="10" s="1"/>
  <c r="S5" i="10"/>
  <c r="R5" i="10"/>
  <c r="Q5" i="10"/>
  <c r="P5" i="10"/>
  <c r="O5" i="10"/>
  <c r="N5" i="10"/>
  <c r="M5" i="10"/>
  <c r="L5" i="10"/>
  <c r="I5" i="10"/>
  <c r="K5" i="10" s="1"/>
  <c r="S5" i="9"/>
  <c r="S6" i="9"/>
  <c r="S7" i="9"/>
  <c r="S8" i="9"/>
  <c r="S9" i="9"/>
  <c r="R5" i="9"/>
  <c r="R6" i="9"/>
  <c r="R7" i="9"/>
  <c r="R8" i="9"/>
  <c r="R9" i="9"/>
  <c r="Q5" i="9"/>
  <c r="Q6" i="9"/>
  <c r="Q7" i="9"/>
  <c r="Q8" i="9"/>
  <c r="Q9" i="9"/>
  <c r="G17" i="9"/>
  <c r="G11" i="9"/>
  <c r="P9" i="9"/>
  <c r="O9" i="9"/>
  <c r="N9" i="9"/>
  <c r="M9" i="9"/>
  <c r="L9" i="9"/>
  <c r="I9" i="9"/>
  <c r="K9" i="9" s="1"/>
  <c r="P8" i="9"/>
  <c r="O8" i="9"/>
  <c r="N8" i="9"/>
  <c r="M8" i="9"/>
  <c r="L8" i="9"/>
  <c r="I8" i="9"/>
  <c r="K8" i="9" s="1"/>
  <c r="P7" i="9"/>
  <c r="O7" i="9"/>
  <c r="N7" i="9"/>
  <c r="M7" i="9"/>
  <c r="L7" i="9"/>
  <c r="I7" i="9"/>
  <c r="K7" i="9" s="1"/>
  <c r="P6" i="9"/>
  <c r="O6" i="9"/>
  <c r="N6" i="9"/>
  <c r="M6" i="9"/>
  <c r="L6" i="9"/>
  <c r="I6" i="9"/>
  <c r="K6" i="9" s="1"/>
  <c r="P5" i="9"/>
  <c r="O5" i="9"/>
  <c r="N5" i="9"/>
  <c r="M5" i="9"/>
  <c r="L5" i="9"/>
  <c r="I5" i="9"/>
  <c r="J5" i="9" s="1"/>
  <c r="P5" i="8"/>
  <c r="P6" i="8"/>
  <c r="P7" i="8"/>
  <c r="P8" i="8"/>
  <c r="P9" i="8"/>
  <c r="O5" i="8"/>
  <c r="O6" i="8"/>
  <c r="O7" i="8"/>
  <c r="O8" i="8"/>
  <c r="O9" i="8"/>
  <c r="N5" i="8"/>
  <c r="N6" i="8"/>
  <c r="N7" i="8"/>
  <c r="N8" i="8"/>
  <c r="N9" i="8"/>
  <c r="G17" i="8"/>
  <c r="G11" i="8"/>
  <c r="M9" i="8"/>
  <c r="L9" i="8"/>
  <c r="I9" i="8"/>
  <c r="K9" i="8" s="1"/>
  <c r="M8" i="8"/>
  <c r="L8" i="8"/>
  <c r="I8" i="8"/>
  <c r="J8" i="8" s="1"/>
  <c r="M7" i="8"/>
  <c r="L7" i="8"/>
  <c r="I7" i="8"/>
  <c r="J7" i="8" s="1"/>
  <c r="M6" i="8"/>
  <c r="L6" i="8"/>
  <c r="I6" i="8"/>
  <c r="J6" i="8" s="1"/>
  <c r="M5" i="8"/>
  <c r="L5" i="8"/>
  <c r="I5" i="8"/>
  <c r="K5" i="8" s="1"/>
  <c r="G17" i="7"/>
  <c r="G13" i="7"/>
  <c r="G11" i="7"/>
  <c r="M9" i="7"/>
  <c r="L9" i="7"/>
  <c r="I9" i="7"/>
  <c r="K9" i="7" s="1"/>
  <c r="M8" i="7"/>
  <c r="L8" i="7"/>
  <c r="K8" i="7"/>
  <c r="J8" i="7"/>
  <c r="I8" i="7"/>
  <c r="M7" i="7"/>
  <c r="L7" i="7"/>
  <c r="I7" i="7"/>
  <c r="K7" i="7" s="1"/>
  <c r="M6" i="7"/>
  <c r="L6" i="7"/>
  <c r="I6" i="7"/>
  <c r="J6" i="7" s="1"/>
  <c r="M5" i="7"/>
  <c r="L5" i="7"/>
  <c r="G15" i="7" s="1"/>
  <c r="K5" i="7"/>
  <c r="J5" i="7"/>
  <c r="I5" i="7"/>
  <c r="C5" i="6"/>
  <c r="A5" i="6"/>
  <c r="B5" i="6" s="1"/>
  <c r="G15" i="5"/>
  <c r="G13" i="5"/>
  <c r="M5" i="5"/>
  <c r="M6" i="5"/>
  <c r="M7" i="5"/>
  <c r="M8" i="5"/>
  <c r="M9" i="5"/>
  <c r="G11" i="5"/>
  <c r="L9" i="5"/>
  <c r="K9" i="5"/>
  <c r="J9" i="5"/>
  <c r="I9" i="5"/>
  <c r="L8" i="5"/>
  <c r="I8" i="5"/>
  <c r="K8" i="5" s="1"/>
  <c r="L7" i="5"/>
  <c r="I7" i="5"/>
  <c r="K7" i="5" s="1"/>
  <c r="L6" i="5"/>
  <c r="K6" i="5"/>
  <c r="J6" i="5"/>
  <c r="I6" i="5"/>
  <c r="L5" i="5"/>
  <c r="I5" i="5"/>
  <c r="K5" i="5" s="1"/>
  <c r="L5" i="4"/>
  <c r="L6" i="4"/>
  <c r="L7" i="4"/>
  <c r="L8" i="4"/>
  <c r="L9" i="4"/>
  <c r="I9" i="4"/>
  <c r="K9" i="4" s="1"/>
  <c r="I8" i="4"/>
  <c r="K8" i="4" s="1"/>
  <c r="I7" i="4"/>
  <c r="K7" i="4" s="1"/>
  <c r="I6" i="4"/>
  <c r="K6" i="4" s="1"/>
  <c r="I5" i="4"/>
  <c r="K5" i="4" s="1"/>
  <c r="I9" i="3"/>
  <c r="K9" i="3" s="1"/>
  <c r="K8" i="3"/>
  <c r="J8" i="3"/>
  <c r="I8" i="3"/>
  <c r="K7" i="3"/>
  <c r="J7" i="3"/>
  <c r="I7" i="3"/>
  <c r="K6" i="3"/>
  <c r="J6" i="3"/>
  <c r="I6" i="3"/>
  <c r="K5" i="3"/>
  <c r="J5" i="3"/>
  <c r="I5" i="3"/>
  <c r="K6" i="2"/>
  <c r="K7" i="2"/>
  <c r="K8" i="2"/>
  <c r="K5" i="2"/>
  <c r="J6" i="2"/>
  <c r="J7" i="2"/>
  <c r="J8" i="2"/>
  <c r="J5" i="2"/>
  <c r="I6" i="2"/>
  <c r="I7" i="2"/>
  <c r="I8" i="2"/>
  <c r="I9" i="2"/>
  <c r="J9" i="2" s="1"/>
  <c r="I5" i="2"/>
  <c r="A9" i="13"/>
  <c r="E9" i="13"/>
  <c r="D9" i="13"/>
  <c r="C9" i="13"/>
  <c r="B9" i="13"/>
  <c r="O9" i="12" l="1"/>
  <c r="J5" i="12"/>
  <c r="J7" i="12"/>
  <c r="K6" i="12"/>
  <c r="J9" i="12"/>
  <c r="J8" i="12"/>
  <c r="K8" i="11"/>
  <c r="J7" i="11"/>
  <c r="K6" i="11"/>
  <c r="K5" i="11"/>
  <c r="J9" i="11"/>
  <c r="J8" i="10"/>
  <c r="K9" i="10"/>
  <c r="J6" i="10"/>
  <c r="K7" i="10"/>
  <c r="J5" i="10"/>
  <c r="G15" i="9"/>
  <c r="J7" i="9"/>
  <c r="J9" i="9"/>
  <c r="J8" i="9"/>
  <c r="J6" i="9"/>
  <c r="K5" i="9"/>
  <c r="G13" i="9"/>
  <c r="G15" i="8"/>
  <c r="K8" i="8"/>
  <c r="J5" i="8"/>
  <c r="K7" i="8"/>
  <c r="K6" i="8"/>
  <c r="J9" i="8"/>
  <c r="G13" i="8"/>
  <c r="K6" i="7"/>
  <c r="J9" i="7"/>
  <c r="J7" i="7"/>
  <c r="J7" i="5"/>
  <c r="J5" i="5"/>
  <c r="J8" i="5"/>
  <c r="K9" i="2"/>
  <c r="J9" i="3"/>
  <c r="J6" i="4"/>
  <c r="J7" i="4"/>
  <c r="J8" i="4"/>
  <c r="J5" i="4"/>
  <c r="J9" i="4"/>
</calcChain>
</file>

<file path=xl/sharedStrings.xml><?xml version="1.0" encoding="utf-8"?>
<sst xmlns="http://schemas.openxmlformats.org/spreadsheetml/2006/main" count="353" uniqueCount="92">
  <si>
    <t>Student ID</t>
  </si>
  <si>
    <t>First Name</t>
  </si>
  <si>
    <t>Last Name</t>
  </si>
  <si>
    <t>Mathematics</t>
  </si>
  <si>
    <t>Science</t>
  </si>
  <si>
    <t>English</t>
  </si>
  <si>
    <t>Computer</t>
  </si>
  <si>
    <t>Social Science</t>
  </si>
  <si>
    <t>Total</t>
  </si>
  <si>
    <t>Percentage</t>
  </si>
  <si>
    <t>Sanskriti</t>
  </si>
  <si>
    <t>Saxena</t>
  </si>
  <si>
    <t>Anu</t>
  </si>
  <si>
    <t>Shubh</t>
  </si>
  <si>
    <t>Alok</t>
  </si>
  <si>
    <t>Singh</t>
  </si>
  <si>
    <t>Riya</t>
  </si>
  <si>
    <t>Day 1</t>
  </si>
  <si>
    <t>Creating Simple Uncoloured Table</t>
  </si>
  <si>
    <t>Day 2</t>
  </si>
  <si>
    <t>Average</t>
  </si>
  <si>
    <t>Applying Sum , Avg , Percentage</t>
  </si>
  <si>
    <t>Day 3</t>
  </si>
  <si>
    <t>AutoMatically Colour Table (ctrl +T)</t>
  </si>
  <si>
    <t>Is_Fail</t>
  </si>
  <si>
    <t>Pass Or Fail Using SUMIF</t>
  </si>
  <si>
    <t>Day 4</t>
  </si>
  <si>
    <t>Count() , Counta(), Countif()</t>
  </si>
  <si>
    <t>Total Subject</t>
  </si>
  <si>
    <t>Marks Given in No of Sub</t>
  </si>
  <si>
    <t xml:space="preserve">                 Day 5</t>
  </si>
  <si>
    <t>No. of Pass Student</t>
  </si>
  <si>
    <t xml:space="preserve">                 Day 6</t>
  </si>
  <si>
    <t>Randombetween,currentdate , time</t>
  </si>
  <si>
    <t>RandomBetween</t>
  </si>
  <si>
    <t>Today</t>
  </si>
  <si>
    <t>Currenttime and date</t>
  </si>
  <si>
    <t xml:space="preserve">                 Day 7</t>
  </si>
  <si>
    <t>Higlight Cells , Vlookup</t>
  </si>
  <si>
    <t>Find Marks of Sanskriti in English</t>
  </si>
  <si>
    <t>Length of first name</t>
  </si>
  <si>
    <t>Capatilize first letter of first name</t>
  </si>
  <si>
    <t>Capatilize all letters of first name</t>
  </si>
  <si>
    <t>Day 8</t>
  </si>
  <si>
    <t>Day 9</t>
  </si>
  <si>
    <t>Overwrite , Remove Space , Remove Special characters</t>
  </si>
  <si>
    <t xml:space="preserve">Sanskriti   </t>
  </si>
  <si>
    <t>Shubh@</t>
  </si>
  <si>
    <t xml:space="preserve">        Riya</t>
  </si>
  <si>
    <t>Remove special char</t>
  </si>
  <si>
    <t>Remove space</t>
  </si>
  <si>
    <t>overwrite(u-&gt;i)</t>
  </si>
  <si>
    <t>Day 10</t>
  </si>
  <si>
    <t>Substitute</t>
  </si>
  <si>
    <t>Concat</t>
  </si>
  <si>
    <t>Full_Name</t>
  </si>
  <si>
    <t xml:space="preserve">Alok </t>
  </si>
  <si>
    <t xml:space="preserve">Riya </t>
  </si>
  <si>
    <t xml:space="preserve">Shubh </t>
  </si>
  <si>
    <t xml:space="preserve">Anu </t>
  </si>
  <si>
    <t xml:space="preserve">Sanskriti </t>
  </si>
  <si>
    <t>Text Joint :Before , After , Split</t>
  </si>
  <si>
    <t>Day 12</t>
  </si>
  <si>
    <t>Day 11</t>
  </si>
  <si>
    <t>FirstName</t>
  </si>
  <si>
    <t>LastName</t>
  </si>
  <si>
    <t>Pal</t>
  </si>
  <si>
    <t>pal</t>
  </si>
  <si>
    <t>Sum of Mathematics</t>
  </si>
  <si>
    <t>Sum of Science</t>
  </si>
  <si>
    <t>Sum of English</t>
  </si>
  <si>
    <t>Sum of Computer</t>
  </si>
  <si>
    <t>Sum of Social Science</t>
  </si>
  <si>
    <t>Fail</t>
  </si>
  <si>
    <t>Pass</t>
  </si>
  <si>
    <t>Grand Total</t>
  </si>
  <si>
    <t>Sum of Total</t>
  </si>
  <si>
    <t>Sum of Percentage</t>
  </si>
  <si>
    <t>Day 13</t>
  </si>
  <si>
    <t>Name</t>
  </si>
  <si>
    <t>IS_Fail</t>
  </si>
  <si>
    <t>Dashboard</t>
  </si>
  <si>
    <t xml:space="preserve">Pivot Tables , Slicers And Graphs </t>
  </si>
  <si>
    <t>Day 15</t>
  </si>
  <si>
    <t>Day 14</t>
  </si>
  <si>
    <t xml:space="preserve">SQL </t>
  </si>
  <si>
    <t>1. Creating Database (Sanskriti)</t>
  </si>
  <si>
    <t>4. Creating Table(students)</t>
  </si>
  <si>
    <t>5. Inserting Data</t>
  </si>
  <si>
    <t>6. Showing table data</t>
  </si>
  <si>
    <t>2.Showing Databases</t>
  </si>
  <si>
    <t>3. Using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</si>
</sst>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u/>
      <sz val="11"/>
      <color theme="1"/>
      <name val="Calibri"/>
      <family val="2"/>
      <scheme val="minor"/>
    </font>
    <font>
      <u/>
      <sz val="11"/>
      <color theme="10"/>
      <name val="Calibri"/>
      <family val="2"/>
      <scheme val="minor"/>
    </font>
    <font>
      <sz val="11"/>
      <name val="Calibri"/>
      <family val="2"/>
      <scheme val="minor"/>
    </font>
    <font>
      <sz val="12"/>
      <color rgb="FFFFFFFF"/>
      <name val="Calibri"/>
      <family val="2"/>
      <scheme val="minor"/>
    </font>
    <font>
      <b/>
      <sz val="24"/>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7"/>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0" fontId="0" fillId="0" borderId="0" xfId="0" applyNumberFormat="1" applyAlignment="1">
      <alignment horizontal="right" vertical="center" wrapText="1"/>
    </xf>
    <xf numFmtId="0" fontId="2" fillId="0" borderId="0" xfId="0" applyFont="1" applyAlignment="1">
      <alignment horizontal="center" vertical="center" wrapText="1"/>
    </xf>
    <xf numFmtId="0" fontId="2" fillId="0" borderId="0" xfId="0" applyFont="1" applyAlignment="1">
      <alignment horizontal="right" vertical="center" wrapText="1"/>
    </xf>
    <xf numFmtId="0" fontId="0" fillId="2" borderId="0" xfId="0" applyFill="1"/>
    <xf numFmtId="0" fontId="0" fillId="0" borderId="0" xfId="0" applyAlignment="1">
      <alignment horizontal="center"/>
    </xf>
    <xf numFmtId="0" fontId="1" fillId="0" borderId="0" xfId="0" applyFont="1" applyAlignment="1">
      <alignment horizontal="center"/>
    </xf>
    <xf numFmtId="0" fontId="1" fillId="2" borderId="0" xfId="0" applyFont="1" applyFill="1"/>
    <xf numFmtId="0" fontId="1" fillId="0" borderId="0" xfId="0" applyFont="1" applyAlignment="1">
      <alignment horizontal="center"/>
    </xf>
    <xf numFmtId="0" fontId="2" fillId="0" borderId="0" xfId="0" applyFont="1"/>
    <xf numFmtId="14" fontId="0" fillId="0" borderId="0" xfId="0" applyNumberFormat="1"/>
    <xf numFmtId="22" fontId="0" fillId="0" borderId="0" xfId="0" applyNumberFormat="1"/>
    <xf numFmtId="0" fontId="0" fillId="3" borderId="0" xfId="0" applyFill="1"/>
    <xf numFmtId="0" fontId="3" fillId="0" borderId="0" xfId="1" applyAlignment="1">
      <alignment vertical="center" wrapText="1"/>
    </xf>
    <xf numFmtId="0" fontId="0" fillId="0" borderId="0" xfId="0" applyNumberFormat="1"/>
    <xf numFmtId="0" fontId="4" fillId="0" borderId="0" xfId="1" applyFont="1" applyAlignment="1">
      <alignment vertical="center" wrapText="1"/>
    </xf>
    <xf numFmtId="0" fontId="0" fillId="4" borderId="0" xfId="0" applyFill="1"/>
    <xf numFmtId="0" fontId="0" fillId="0" borderId="0" xfId="0" pivotButton="1"/>
    <xf numFmtId="0" fontId="0" fillId="0" borderId="0" xfId="0" applyAlignment="1">
      <alignment horizontal="left"/>
    </xf>
    <xf numFmtId="0" fontId="0" fillId="5" borderId="0" xfId="0" applyFill="1"/>
    <xf numFmtId="0" fontId="0" fillId="2" borderId="0" xfId="0" applyFill="1" applyAlignment="1">
      <alignment horizontal="center"/>
    </xf>
    <xf numFmtId="0" fontId="5" fillId="3" borderId="0" xfId="0" applyFont="1" applyFill="1" applyAlignment="1">
      <alignment horizontal="left" vertical="center"/>
    </xf>
    <xf numFmtId="0" fontId="6" fillId="0" borderId="0" xfId="0" applyFont="1"/>
    <xf numFmtId="0" fontId="0" fillId="4" borderId="0" xfId="0" applyFill="1" applyAlignment="1">
      <alignment horizontal="center"/>
    </xf>
  </cellXfs>
  <cellStyles count="2">
    <cellStyle name="Hyperlink" xfId="1" builtinId="8"/>
    <cellStyle name="Normal" xfId="0" builtinId="0"/>
  </cellStyles>
  <dxfs count="139">
    <dxf>
      <fill>
        <patternFill>
          <bgColor rgb="FFC00000"/>
        </patternFill>
      </fill>
    </dxf>
    <dxf>
      <font>
        <color rgb="FF9C0006"/>
      </font>
      <fill>
        <patternFill>
          <bgColor rgb="FFFFC7CE"/>
        </patternFill>
      </fill>
    </dxf>
    <dxf>
      <fill>
        <patternFill>
          <bgColor theme="7" tint="0.79998168889431442"/>
        </patternFill>
      </fill>
    </dxf>
    <dxf>
      <fill>
        <patternFill>
          <bgColor rgb="FFC00000"/>
        </patternFill>
      </fill>
    </dxf>
    <dxf>
      <font>
        <color rgb="FF9C0006"/>
      </font>
      <fill>
        <patternFill>
          <bgColor rgb="FFFFC7CE"/>
        </patternFill>
      </fill>
    </dxf>
    <dxf>
      <fill>
        <patternFill>
          <bgColor theme="7" tint="0.79998168889431442"/>
        </patternFill>
      </fill>
    </dxf>
    <dxf>
      <fill>
        <patternFill>
          <bgColor rgb="FFC00000"/>
        </patternFill>
      </fill>
    </dxf>
    <dxf>
      <font>
        <color rgb="FF9C0006"/>
      </font>
      <fill>
        <patternFill>
          <bgColor rgb="FFFFC7CE"/>
        </patternFill>
      </fill>
    </dxf>
    <dxf>
      <fill>
        <patternFill>
          <bgColor theme="7" tint="0.79998168889431442"/>
        </patternFill>
      </fill>
    </dxf>
    <dxf>
      <fill>
        <patternFill>
          <bgColor rgb="FFC00000"/>
        </patternFill>
      </fill>
    </dxf>
    <dxf>
      <font>
        <color rgb="FF9C0006"/>
      </font>
      <fill>
        <patternFill>
          <bgColor rgb="FFFFC7CE"/>
        </patternFill>
      </fill>
    </dxf>
    <dxf>
      <fill>
        <patternFill>
          <bgColor theme="7" tint="0.79998168889431442"/>
        </patternFill>
      </fill>
    </dxf>
    <dxf>
      <fill>
        <patternFill>
          <bgColor rgb="FFC00000"/>
        </patternFill>
      </fill>
    </dxf>
    <dxf>
      <font>
        <color rgb="FF9C0006"/>
      </font>
      <fill>
        <patternFill>
          <bgColor rgb="FFFFC7CE"/>
        </patternFill>
      </fill>
    </dxf>
    <dxf>
      <fill>
        <patternFill>
          <bgColor theme="7" tint="0.79998168889431442"/>
        </patternFill>
      </fill>
    </dxf>
    <dxf>
      <fill>
        <patternFill>
          <bgColor rgb="FFC00000"/>
        </patternFill>
      </fill>
    </dxf>
    <dxf>
      <font>
        <color rgb="FF9C0006"/>
      </font>
      <fill>
        <patternFill>
          <bgColor rgb="FFFFC7CE"/>
        </patternFill>
      </fill>
    </dxf>
    <dxf>
      <fill>
        <patternFill>
          <bgColor theme="7" tint="0.79998168889431442"/>
        </patternFill>
      </fill>
    </dxf>
    <dxf>
      <fill>
        <patternFill>
          <bgColor rgb="FFC00000"/>
        </patternFill>
      </fill>
    </dxf>
    <dxf>
      <font>
        <color rgb="FF9C0006"/>
      </font>
      <fill>
        <patternFill>
          <bgColor rgb="FFFFC7CE"/>
        </patternFill>
      </fill>
    </dxf>
    <dxf>
      <fill>
        <patternFill>
          <bgColor theme="7" tint="0.79998168889431442"/>
        </patternFill>
      </fill>
    </dxf>
    <dxf>
      <fill>
        <patternFill>
          <bgColor rgb="FFC00000"/>
        </patternFill>
      </fill>
    </dxf>
    <dxf>
      <font>
        <color rgb="FF9C0006"/>
      </font>
      <fill>
        <patternFill>
          <bgColor rgb="FFFFC7CE"/>
        </patternFill>
      </fill>
    </dxf>
    <dxf>
      <fill>
        <patternFill>
          <bgColor theme="7" tint="0.79998168889431442"/>
        </patternFill>
      </fill>
    </dxf>
    <dxf>
      <numFmt numFmtId="0" formatCode="General"/>
    </dxf>
    <dxf>
      <numFmt numFmtId="0" formatCode="General"/>
    </dxf>
    <dxf>
      <numFmt numFmtId="0" formatCode="General"/>
    </dxf>
    <dxf>
      <numFmt numFmtId="0" formatCode="General"/>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ertAlign val="baseline"/>
        <sz val="11"/>
        <color theme="1"/>
        <name val="Calibri"/>
        <family val="2"/>
        <scheme val="minor"/>
      </font>
      <alignment horizontal="right" vertical="center" textRotation="0" wrapText="1" indent="0" justifyLastLine="0" shrinkToFit="0" readingOrder="0"/>
    </dxf>
    <dxf>
      <numFmt numFmtId="0" formatCode="General"/>
    </dxf>
    <dxf>
      <numFmt numFmtId="0" formatCode="General"/>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ertAlign val="baseline"/>
        <sz val="11"/>
        <color theme="1"/>
        <name val="Calibri"/>
        <family val="2"/>
        <scheme val="minor"/>
      </font>
      <alignment horizontal="right"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ertAlign val="baseline"/>
        <sz val="11"/>
        <color theme="1"/>
        <name val="Calibri"/>
        <family val="2"/>
        <scheme val="minor"/>
      </font>
      <alignment horizontal="right"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ertAlign val="baseline"/>
        <sz val="11"/>
        <color theme="1"/>
        <name val="Calibri"/>
        <family val="2"/>
        <scheme val="minor"/>
      </font>
      <alignment horizontal="right"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ertAlign val="baseline"/>
        <sz val="11"/>
        <color theme="1"/>
        <name val="Calibri"/>
        <family val="2"/>
        <scheme val="minor"/>
      </font>
      <alignment horizontal="right" vertical="center" textRotation="0" wrapText="1" indent="0" justifyLastLine="0" shrinkToFit="0" readingOrder="0"/>
    </dxf>
    <dxf>
      <numFmt numFmtId="0" formatCode="General"/>
    </dxf>
    <dxf>
      <numFmt numFmtId="0" formatCode="General"/>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ertAlign val="baseline"/>
        <sz val="11"/>
        <color theme="1"/>
        <name val="Calibri"/>
        <family val="2"/>
        <scheme val="minor"/>
      </font>
      <alignment horizontal="right" vertical="center" textRotation="0" wrapText="1" indent="0" justifyLastLine="0" shrinkToFit="0" readingOrder="0"/>
    </dxf>
    <dxf>
      <numFmt numFmtId="27" formatCode="dd/mm/yyyy\ hh:mm"/>
    </dxf>
    <dxf>
      <numFmt numFmtId="19" formatCode="dd/mm/yyyy"/>
    </dxf>
    <dxf>
      <numFmt numFmtId="0" formatCode="General"/>
    </dxf>
    <dxf>
      <numFmt numFmtId="0" formatCode="General"/>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ertAlign val="baseline"/>
        <sz val="11"/>
        <color theme="1"/>
        <name val="Calibri"/>
        <family val="2"/>
        <scheme val="minor"/>
      </font>
      <alignment horizontal="right" vertical="center" textRotation="0" wrapText="1" indent="0" justifyLastLine="0" shrinkToFit="0" readingOrder="0"/>
    </dxf>
    <dxf>
      <numFmt numFmtId="0" formatCode="General"/>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ertAlign val="baseline"/>
        <sz val="11"/>
        <color theme="1"/>
        <name val="Calibri"/>
        <family val="2"/>
        <scheme val="minor"/>
      </font>
      <alignment horizontal="right" vertical="center" textRotation="0" wrapText="1" indent="0" justifyLastLine="0" shrinkToFit="0" readingOrder="0"/>
    </dxf>
    <dxf>
      <font>
        <b/>
        <i val="0"/>
        <strike val="0"/>
        <condense val="0"/>
        <extend val="0"/>
        <outline val="0"/>
        <shadow val="0"/>
        <u/>
        <vertAlign val="baseline"/>
        <sz val="11"/>
        <color theme="1"/>
        <name val="Calibri"/>
        <family val="2"/>
        <scheme val="minor"/>
      </font>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[15_Days_Task.xlsx]Day13!PivotTable2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'Day13'!$B$12</c:f>
              <c:strCache>
                <c:ptCount val="1"/>
                <c:pt idx="0">
                  <c:v>Sum of Total</c:v>
                </c:pt>
              </c:strCache>
            </c:strRef>
          </c:tx>
          <c:spPr>
            <a:solidFill>
              <a:schemeClr val="accent1"/>
            </a:solidFill>
            <a:ln>
              <a:noFill/>
            </a:ln>
            <a:effectLst/>
          </c:spPr>
          <c:invertIfNegative val="0"/>
          <c:cat>
            <c:strRef>
              <c:f>'Day13'!$A$13:$A$18</c:f>
              <c:strCache>
                <c:ptCount val="5"/>
                <c:pt idx="0">
                  <c:v>Alok</c:v>
                </c:pt>
                <c:pt idx="1">
                  <c:v>Anu</c:v>
                </c:pt>
                <c:pt idx="2">
                  <c:v>Riya</c:v>
                </c:pt>
                <c:pt idx="3">
                  <c:v>Sanskriti</c:v>
                </c:pt>
                <c:pt idx="4">
                  <c:v>Shubh</c:v>
                </c:pt>
              </c:strCache>
            </c:strRef>
          </c:cat>
          <c:val>
            <c:numRef>
              <c:f>'Day13'!$B$13:$B$18</c:f>
              <c:numCache>
                <c:formatCode>General</c:formatCode>
                <c:ptCount val="5"/>
                <c:pt idx="0">
                  <c:v>322</c:v>
                </c:pt>
                <c:pt idx="1">
                  <c:v>416</c:v>
                </c:pt>
                <c:pt idx="2">
                  <c:v>358</c:v>
                </c:pt>
                <c:pt idx="3">
                  <c:v>441</c:v>
                </c:pt>
                <c:pt idx="4">
                  <c:v>450</c:v>
                </c:pt>
              </c:numCache>
            </c:numRef>
          </c:val>
          <c:extLst>
            <c:ext xmlns:c16="http://schemas.microsoft.com/office/drawing/2014/chart" uri="{C3380CC4-5D6E-409C-BE32-E72D297353CC}">
              <c16:uniqueId val="{00000000-99D4-4F37-B3DD-2D95BE075EDB}"/>
            </c:ext>
          </c:extLst>
        </c:ser>
        <c:dLbls>
          <c:showLegendKey val="0"/>
          <c:showVal val="0"/>
          <c:showCatName val="0"/>
          <c:showSerName val="0"/>
          <c:showPercent val="0"/>
          <c:showBubbleSize val="0"/>
        </c:dLbls>
        <c:gapWidth val="219"/>
        <c:overlap val="100"/>
        <c:axId val="178146608"/>
        <c:axId val="51608528"/>
      </c:barChart>
      <c:lineChart>
        <c:grouping val="standard"/>
        <c:varyColors val="0"/>
        <c:ser>
          <c:idx val="1"/>
          <c:order val="1"/>
          <c:tx>
            <c:strRef>
              <c:f>'Day13'!$C$12</c:f>
              <c:strCache>
                <c:ptCount val="1"/>
                <c:pt idx="0">
                  <c:v>Sum of Percentage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'Day13'!$A$13:$A$18</c:f>
              <c:strCache>
                <c:ptCount val="5"/>
                <c:pt idx="0">
                  <c:v>Alok</c:v>
                </c:pt>
                <c:pt idx="1">
                  <c:v>Anu</c:v>
                </c:pt>
                <c:pt idx="2">
                  <c:v>Riya</c:v>
                </c:pt>
                <c:pt idx="3">
                  <c:v>Sanskriti</c:v>
                </c:pt>
                <c:pt idx="4">
                  <c:v>Shubh</c:v>
                </c:pt>
              </c:strCache>
            </c:strRef>
          </c:cat>
          <c:val>
            <c:numRef>
              <c:f>'Day13'!$C$13:$C$18</c:f>
              <c:numCache>
                <c:formatCode>General</c:formatCode>
                <c:ptCount val="5"/>
                <c:pt idx="0">
                  <c:v>64.400000000000006</c:v>
                </c:pt>
                <c:pt idx="1">
                  <c:v>83.2</c:v>
                </c:pt>
                <c:pt idx="2">
                  <c:v>71.599999999999994</c:v>
                </c:pt>
                <c:pt idx="3">
                  <c:v>88.2</c:v>
                </c:pt>
                <c:pt idx="4">
                  <c:v>90</c:v>
                </c:pt>
              </c:numCache>
            </c:numRef>
          </c:val>
          <c:smooth val="0"/>
          <c:extLst>
            <c:ext xmlns:c16="http://schemas.microsoft.com/office/drawing/2014/chart" uri="{C3380CC4-5D6E-409C-BE32-E72D297353CC}">
              <c16:uniqueId val="{00000001-99D4-4F37-B3DD-2D95BE075EDB}"/>
            </c:ext>
          </c:extLst>
        </c:ser>
        <c:dLbls>
          <c:showLegendKey val="0"/>
          <c:showVal val="0"/>
          <c:showCatName val="0"/>
          <c:showSerName val="0"/>
          <c:showPercent val="0"/>
          <c:showBubbleSize val="0"/>
        </c:dLbls>
        <c:marker val="1"/>
        <c:smooth val="0"/>
        <c:axId val="178126656"/>
        <c:axId val="51609008"/>
      </c:lineChart>
      <c:catAx>
        <c:axId val="17812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09008"/>
        <c:crosses val="autoZero"/>
        <c:auto val="1"/>
        <c:lblAlgn val="ctr"/>
        <c:lblOffset val="100"/>
        <c:noMultiLvlLbl val="0"/>
      </c:catAx>
      <c:valAx>
        <c:axId val="5160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26656"/>
        <c:crosses val="autoZero"/>
        <c:crossBetween val="between"/>
      </c:valAx>
      <c:valAx>
        <c:axId val="51608528"/>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46608"/>
        <c:crosses val="max"/>
        <c:crossBetween val="between"/>
      </c:valAx>
      <c:catAx>
        <c:axId val="178146608"/>
        <c:scaling>
          <c:orientation val="minMax"/>
        </c:scaling>
        <c:delete val="1"/>
        <c:axPos val="l"/>
        <c:numFmt formatCode="General" sourceLinked="1"/>
        <c:majorTickMark val="out"/>
        <c:minorTickMark val="none"/>
        <c:tickLblPos val="nextTo"/>
        <c:crossAx val="51608528"/>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[15_Days_Task.xlsx]Day13!PivotTable3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'Day13'!$B$22</c:f>
              <c:strCache>
                <c:ptCount val="1"/>
                <c:pt idx="0">
                  <c:v>Sum of Mathematics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'Day13'!$A$23:$A$28</c:f>
              <c:strCache>
                <c:ptCount val="5"/>
                <c:pt idx="0">
                  <c:v>Alok</c:v>
                </c:pt>
                <c:pt idx="1">
                  <c:v>Anu</c:v>
                </c:pt>
                <c:pt idx="2">
                  <c:v>Riya</c:v>
                </c:pt>
                <c:pt idx="3">
                  <c:v>Sanskriti</c:v>
                </c:pt>
                <c:pt idx="4">
                  <c:v>Shubh</c:v>
                </c:pt>
              </c:strCache>
            </c:strRef>
          </c:cat>
          <c:val>
            <c:numRef>
              <c:f>'Day13'!$B$23:$B$28</c:f>
              <c:numCache>
                <c:formatCode>General</c:formatCode>
                <c:ptCount val="5"/>
                <c:pt idx="0">
                  <c:v>74</c:v>
                </c:pt>
                <c:pt idx="1">
                  <c:v>78</c:v>
                </c:pt>
                <c:pt idx="2">
                  <c:v>88</c:v>
                </c:pt>
                <c:pt idx="3">
                  <c:v>85</c:v>
                </c:pt>
                <c:pt idx="4">
                  <c:v>92</c:v>
                </c:pt>
              </c:numCache>
            </c:numRef>
          </c:val>
          <c:smooth val="0"/>
          <c:extLst>
            <c:ext xmlns:c16="http://schemas.microsoft.com/office/drawing/2014/chart" uri="{C3380CC4-5D6E-409C-BE32-E72D297353CC}">
              <c16:uniqueId val="{00000000-2023-433C-947E-8AF5DBA96299}"/>
            </c:ext>
          </c:extLst>
        </c:ser>
        <c:ser>
          <c:idx val="1"/>
          <c:order val="1"/>
          <c:tx>
            <c:strRef>
              <c:f>'Day13'!$C$22</c:f>
              <c:strCache>
                <c:ptCount val="1"/>
                <c:pt idx="0">
                  <c:v>Sum of Science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'Day13'!$A$23:$A$28</c:f>
              <c:strCache>
                <c:ptCount val="5"/>
                <c:pt idx="0">
                  <c:v>Alok</c:v>
                </c:pt>
                <c:pt idx="1">
                  <c:v>Anu</c:v>
                </c:pt>
                <c:pt idx="2">
                  <c:v>Riya</c:v>
                </c:pt>
                <c:pt idx="3">
                  <c:v>Sanskriti</c:v>
                </c:pt>
                <c:pt idx="4">
                  <c:v>Shubh</c:v>
                </c:pt>
              </c:strCache>
            </c:strRef>
          </c:cat>
          <c:val>
            <c:numRef>
              <c:f>'Day13'!$C$23:$C$28</c:f>
              <c:numCache>
                <c:formatCode>General</c:formatCode>
                <c:ptCount val="5"/>
                <c:pt idx="1">
                  <c:v>84</c:v>
                </c:pt>
                <c:pt idx="2">
                  <c:v>93</c:v>
                </c:pt>
                <c:pt idx="3">
                  <c:v>91</c:v>
                </c:pt>
                <c:pt idx="4">
                  <c:v>89</c:v>
                </c:pt>
              </c:numCache>
            </c:numRef>
          </c:val>
          <c:smooth val="0"/>
          <c:extLst>
            <c:ext xmlns:c16="http://schemas.microsoft.com/office/drawing/2014/chart" uri="{C3380CC4-5D6E-409C-BE32-E72D297353CC}">
              <c16:uniqueId val="{00000001-2023-433C-947E-8AF5DBA96299}"/>
            </c:ext>
          </c:extLst>
        </c:ser>
        <c:ser>
          <c:idx val="2"/>
          <c:order val="2"/>
          <c:tx>
            <c:strRef>
              <c:f>'Day13'!$D$22</c:f>
              <c:strCache>
                <c:ptCount val="1"/>
                <c:pt idx="0">
                  <c:v>Sum of English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'Day13'!$A$23:$A$28</c:f>
              <c:strCache>
                <c:ptCount val="5"/>
                <c:pt idx="0">
                  <c:v>Alok</c:v>
                </c:pt>
                <c:pt idx="1">
                  <c:v>Anu</c:v>
                </c:pt>
                <c:pt idx="2">
                  <c:v>Riya</c:v>
                </c:pt>
                <c:pt idx="3">
                  <c:v>Sanskriti</c:v>
                </c:pt>
                <c:pt idx="4">
                  <c:v>Shubh</c:v>
                </c:pt>
              </c:strCache>
            </c:strRef>
          </c:cat>
          <c:val>
            <c:numRef>
              <c:f>'Day13'!$D$23:$D$28</c:f>
              <c:numCache>
                <c:formatCode>General</c:formatCode>
                <c:ptCount val="5"/>
                <c:pt idx="0">
                  <c:v>79</c:v>
                </c:pt>
                <c:pt idx="1">
                  <c:v>90</c:v>
                </c:pt>
                <c:pt idx="2">
                  <c:v>1</c:v>
                </c:pt>
                <c:pt idx="3">
                  <c:v>88</c:v>
                </c:pt>
                <c:pt idx="4">
                  <c:v>85</c:v>
                </c:pt>
              </c:numCache>
            </c:numRef>
          </c:val>
          <c:smooth val="0"/>
          <c:extLst>
            <c:ext xmlns:c16="http://schemas.microsoft.com/office/drawing/2014/chart" uri="{C3380CC4-5D6E-409C-BE32-E72D297353CC}">
              <c16:uniqueId val="{00000002-2023-433C-947E-8AF5DBA96299}"/>
            </c:ext>
          </c:extLst>
        </c:ser>
        <c:ser>
          <c:idx val="3"/>
          <c:order val="3"/>
          <c:tx>
            <c:strRef>
              <c:f>'Day13'!$E$22</c:f>
              <c:strCache>
                <c:ptCount val="1"/>
                <c:pt idx="0">
                  <c:v>Sum of Computer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'Day13'!$A$23:$A$28</c:f>
              <c:strCache>
                <c:ptCount val="5"/>
                <c:pt idx="0">
                  <c:v>Alok</c:v>
                </c:pt>
                <c:pt idx="1">
                  <c:v>Anu</c:v>
                </c:pt>
                <c:pt idx="2">
                  <c:v>Riya</c:v>
                </c:pt>
                <c:pt idx="3">
                  <c:v>Sanskriti</c:v>
                </c:pt>
                <c:pt idx="4">
                  <c:v>Shubh</c:v>
                </c:pt>
              </c:strCache>
            </c:strRef>
          </c:cat>
          <c:val>
            <c:numRef>
              <c:f>'Day13'!$E$23:$E$28</c:f>
              <c:numCache>
                <c:formatCode>General</c:formatCode>
                <c:ptCount val="5"/>
                <c:pt idx="0">
                  <c:v>86</c:v>
                </c:pt>
                <c:pt idx="1">
                  <c:v>88</c:v>
                </c:pt>
                <c:pt idx="2">
                  <c:v>89</c:v>
                </c:pt>
                <c:pt idx="3">
                  <c:v>95</c:v>
                </c:pt>
                <c:pt idx="4">
                  <c:v>94</c:v>
                </c:pt>
              </c:numCache>
            </c:numRef>
          </c:val>
          <c:smooth val="0"/>
          <c:extLst>
            <c:ext xmlns:c16="http://schemas.microsoft.com/office/drawing/2014/chart" uri="{C3380CC4-5D6E-409C-BE32-E72D297353CC}">
              <c16:uniqueId val="{00000003-2023-433C-947E-8AF5DBA96299}"/>
            </c:ext>
          </c:extLst>
        </c:ser>
        <c:ser>
          <c:idx val="4"/>
          <c:order val="4"/>
          <c:tx>
            <c:strRef>
              <c:f>'Day13'!$F$22</c:f>
              <c:strCache>
                <c:ptCount val="1"/>
                <c:pt idx="0">
                  <c:v>Sum of Social Science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'Day13'!$A$23:$A$28</c:f>
              <c:strCache>
                <c:ptCount val="5"/>
                <c:pt idx="0">
                  <c:v>Alok</c:v>
                </c:pt>
                <c:pt idx="1">
                  <c:v>Anu</c:v>
                </c:pt>
                <c:pt idx="2">
                  <c:v>Riya</c:v>
                </c:pt>
                <c:pt idx="3">
                  <c:v>Sanskriti</c:v>
                </c:pt>
                <c:pt idx="4">
                  <c:v>Shubh</c:v>
                </c:pt>
              </c:strCache>
            </c:strRef>
          </c:cat>
          <c:val>
            <c:numRef>
              <c:f>'Day13'!$F$23:$F$28</c:f>
              <c:numCache>
                <c:formatCode>General</c:formatCode>
                <c:ptCount val="5"/>
                <c:pt idx="0">
                  <c:v>83</c:v>
                </c:pt>
                <c:pt idx="1">
                  <c:v>76</c:v>
                </c:pt>
                <c:pt idx="2">
                  <c:v>87</c:v>
                </c:pt>
                <c:pt idx="3">
                  <c:v>82</c:v>
                </c:pt>
                <c:pt idx="4">
                  <c:v>90</c:v>
                </c:pt>
              </c:numCache>
            </c:numRef>
          </c:val>
          <c:smooth val="0"/>
          <c:extLst>
            <c:ext xmlns:c16="http://schemas.microsoft.com/office/drawing/2014/chart" uri="{C3380CC4-5D6E-409C-BE32-E72D297353CC}">
              <c16:uniqueId val="{00000004-2023-433C-947E-8AF5DBA96299}"/>
            </c:ext>
          </c:extLst>
        </c:ser>
        <c:dLbls>
          <c:showLegendKey val="0"/>
          <c:showVal val="0"/>
          <c:showCatName val="0"/>
          <c:showSerName val="0"/>
          <c:showPercent val="0"/>
          <c:showBubbleSize val="0"/>
        </c:dLbls>
        <c:marker val="1"/>
        <c:smooth val="0"/>
        <c:axId val="159945216"/>
        <c:axId val="51628208"/>
      </c:lineChart>
      <c:catAx>
        <c:axId val="15994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28208"/>
        <c:crosses val="autoZero"/>
        <c:auto val="1"/>
        <c:lblAlgn val="ctr"/>
        <c:lblOffset val="100"/>
        <c:noMultiLvlLbl val="0"/>
      </c:catAx>
      <c:valAx>
        <c:axId val="5162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4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[15_Days_Task.xlsx]Day13!PivotTable4</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'Day13'!$J$6</c:f>
              <c:strCache>
                <c:ptCount val="1"/>
                <c:pt idx="0">
                  <c:v>Sum of Mathematics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'Day13'!$I$7:$I$9</c:f>
              <c:strCache>
                <c:ptCount val="2"/>
                <c:pt idx="0">
                  <c:v>Fail</c:v>
                </c:pt>
                <c:pt idx="1">
                  <c:v>Pass</c:v>
                </c:pt>
              </c:strCache>
            </c:strRef>
          </c:cat>
          <c:val>
            <c:numRef>
              <c:f>'Day13'!$J$7:$J$9</c:f>
              <c:numCache>
                <c:formatCode>General</c:formatCode>
                <c:ptCount val="2"/>
                <c:pt idx="0">
                  <c:v>88</c:v>
                </c:pt>
                <c:pt idx="1">
                  <c:v>329</c:v>
                </c:pt>
              </c:numCache>
            </c:numRef>
          </c:val>
          <c:extLst>
            <c:ext xmlns:c16="http://schemas.microsoft.com/office/drawing/2014/chart" uri="{C3380CC4-5D6E-409C-BE32-E72D297353CC}">
              <c16:uniqueId val="{00000000-B2FC-45BD-87C4-FEC0EC780613}"/>
            </c:ext>
          </c:extLst>
        </c:ser>
        <c:ser>
          <c:idx val="1"/>
          <c:order val="1"/>
          <c:tx>
            <c:strRef>
              <c:f>'Day13'!$K$6</c:f>
              <c:strCache>
                <c:ptCount val="1"/>
                <c:pt idx="0">
                  <c:v>Sum of Science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'Day13'!$I$7:$I$9</c:f>
              <c:strCache>
                <c:ptCount val="2"/>
                <c:pt idx="0">
                  <c:v>Fail</c:v>
                </c:pt>
                <c:pt idx="1">
                  <c:v>Pass</c:v>
                </c:pt>
              </c:strCache>
            </c:strRef>
          </c:cat>
          <c:val>
            <c:numRef>
              <c:f>'Day13'!$K$7:$K$9</c:f>
              <c:numCache>
                <c:formatCode>General</c:formatCode>
                <c:ptCount val="2"/>
                <c:pt idx="0">
                  <c:v>93</c:v>
                </c:pt>
                <c:pt idx="1">
                  <c:v>264</c:v>
                </c:pt>
              </c:numCache>
            </c:numRef>
          </c:val>
          <c:extLst>
            <c:ext xmlns:c16="http://schemas.microsoft.com/office/drawing/2014/chart" uri="{C3380CC4-5D6E-409C-BE32-E72D297353CC}">
              <c16:uniqueId val="{00000001-B2FC-45BD-87C4-FEC0EC780613}"/>
            </c:ext>
          </c:extLst>
        </c:ser>
        <c:ser>
          <c:idx val="2"/>
          <c:order val="2"/>
          <c:tx>
            <c:strRef>
              <c:f>'Day13'!$L$6</c:f>
              <c:strCache>
                <c:ptCount val="1"/>
                <c:pt idx="0">
                  <c:v>Sum of English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'Day13'!$I$7:$I$9</c:f>
              <c:strCache>
                <c:ptCount val="2"/>
                <c:pt idx="0">
                  <c:v>Fail</c:v>
                </c:pt>
                <c:pt idx="1">
                  <c:v>Pass</c:v>
                </c:pt>
              </c:strCache>
            </c:strRef>
          </c:cat>
          <c:val>
            <c:numRef>
              <c:f>'Day13'!$L$7:$L$9</c:f>
              <c:numCache>
                <c:formatCode>General</c:formatCode>
                <c:ptCount val="2"/>
                <c:pt idx="0">
                  <c:v>1</c:v>
                </c:pt>
                <c:pt idx="1">
                  <c:v>342</c:v>
                </c:pt>
              </c:numCache>
            </c:numRef>
          </c:val>
          <c:extLst>
            <c:ext xmlns:c16="http://schemas.microsoft.com/office/drawing/2014/chart" uri="{C3380CC4-5D6E-409C-BE32-E72D297353CC}">
              <c16:uniqueId val="{00000002-B2FC-45BD-87C4-FEC0EC780613}"/>
            </c:ext>
          </c:extLst>
        </c:ser>
        <c:ser>
          <c:idx val="3"/>
          <c:order val="3"/>
          <c:tx>
            <c:strRef>
              <c:f>'Day13'!$M$6</c:f>
              <c:strCache>
                <c:ptCount val="1"/>
                <c:pt idx="0">
                  <c:v>Sum of Computer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'Day13'!$I$7:$I$9</c:f>
              <c:strCache>
                <c:ptCount val="2"/>
                <c:pt idx="0">
                  <c:v>Fail</c:v>
                </c:pt>
                <c:pt idx="1">
                  <c:v>Pass</c:v>
                </c:pt>
              </c:strCache>
            </c:strRef>
          </c:cat>
          <c:val>
            <c:numRef>
              <c:f>'Day13'!$M$7:$M$9</c:f>
              <c:numCache>
                <c:formatCode>General</c:formatCode>
                <c:ptCount val="2"/>
                <c:pt idx="0">
                  <c:v>89</c:v>
                </c:pt>
                <c:pt idx="1">
                  <c:v>363</c:v>
                </c:pt>
              </c:numCache>
            </c:numRef>
          </c:val>
          <c:extLst>
            <c:ext xmlns:c16="http://schemas.microsoft.com/office/drawing/2014/chart" uri="{C3380CC4-5D6E-409C-BE32-E72D297353CC}">
              <c16:uniqueId val="{00000003-B2FC-45BD-87C4-FEC0EC780613}"/>
            </c:ext>
          </c:extLst>
        </c:ser>
        <c:ser>
          <c:idx val="4"/>
          <c:order val="4"/>
          <c:tx>
            <c:strRef>
              <c:f>'Day13'!$N$6</c:f>
              <c:strCache>
                <c:ptCount val="1"/>
                <c:pt idx="0">
                  <c:v>Sum of Social Science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'Day13'!$I$7:$I$9</c:f>
              <c:strCache>
                <c:ptCount val="2"/>
                <c:pt idx="0">
                  <c:v>Fail</c:v>
                </c:pt>
                <c:pt idx="1">
                  <c:v>Pass</c:v>
                </c:pt>
              </c:strCache>
            </c:strRef>
          </c:cat>
          <c:val>
            <c:numRef>
              <c:f>'Day13'!$N$7:$N$9</c:f>
              <c:numCache>
                <c:formatCode>General</c:formatCode>
                <c:ptCount val="2"/>
                <c:pt idx="0">
                  <c:v>87</c:v>
                </c:pt>
                <c:pt idx="1">
                  <c:v>331</c:v>
                </c:pt>
              </c:numCache>
            </c:numRef>
          </c:val>
          <c:extLst>
            <c:ext xmlns:c16="http://schemas.microsoft.com/office/drawing/2014/chart" uri="{C3380CC4-5D6E-409C-BE32-E72D297353CC}">
              <c16:uniqueId val="{00000004-B2FC-45BD-87C4-FEC0EC78061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[15_Days_Task.xlsx]Day13!PivotTable2</c:name>
    <c:fmtId val="6"/>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'Day13'!$B$12</c:f>
              <c:strCache>
                <c:ptCount val="1"/>
                <c:pt idx="0">
                  <c:v>Sum of Total</c:v>
                </c:pt>
              </c:strCache>
            </c:strRef>
          </c:tx>
          <c:spPr>
            <a:solidFill>
              <a:schemeClr val="accent1"/>
            </a:solidFill>
            <a:ln>
              <a:noFill/>
            </a:ln>
            <a:effectLst/>
          </c:spPr>
          <c:invertIfNegative val="0"/>
          <c:cat>
            <c:strRef>
              <c:f>'Day13'!$A$13:$A$18</c:f>
              <c:strCache>
                <c:ptCount val="5"/>
                <c:pt idx="0">
                  <c:v>Alok</c:v>
                </c:pt>
                <c:pt idx="1">
                  <c:v>Anu</c:v>
                </c:pt>
                <c:pt idx="2">
                  <c:v>Riya</c:v>
                </c:pt>
                <c:pt idx="3">
                  <c:v>Sanskriti</c:v>
                </c:pt>
                <c:pt idx="4">
                  <c:v>Shubh</c:v>
                </c:pt>
              </c:strCache>
            </c:strRef>
          </c:cat>
          <c:val>
            <c:numRef>
              <c:f>'Day13'!$B$13:$B$18</c:f>
              <c:numCache>
                <c:formatCode>General</c:formatCode>
                <c:ptCount val="5"/>
                <c:pt idx="0">
                  <c:v>322</c:v>
                </c:pt>
                <c:pt idx="1">
                  <c:v>416</c:v>
                </c:pt>
                <c:pt idx="2">
                  <c:v>358</c:v>
                </c:pt>
                <c:pt idx="3">
                  <c:v>441</c:v>
                </c:pt>
                <c:pt idx="4">
                  <c:v>450</c:v>
                </c:pt>
              </c:numCache>
            </c:numRef>
          </c:val>
          <c:extLst>
            <c:ext xmlns:c16="http://schemas.microsoft.com/office/drawing/2014/chart" uri="{C3380CC4-5D6E-409C-BE32-E72D297353CC}">
              <c16:uniqueId val="{00000000-05B2-45C9-BDA7-5E270F86649D}"/>
            </c:ext>
          </c:extLst>
        </c:ser>
        <c:dLbls>
          <c:showLegendKey val="0"/>
          <c:showVal val="0"/>
          <c:showCatName val="0"/>
          <c:showSerName val="0"/>
          <c:showPercent val="0"/>
          <c:showBubbleSize val="0"/>
        </c:dLbls>
        <c:gapWidth val="219"/>
        <c:overlap val="100"/>
        <c:axId val="178146608"/>
        <c:axId val="51608528"/>
      </c:barChart>
      <c:lineChart>
        <c:grouping val="standard"/>
        <c:varyColors val="0"/>
        <c:ser>
          <c:idx val="1"/>
          <c:order val="1"/>
          <c:tx>
            <c:strRef>
              <c:f>'Day13'!$C$12</c:f>
              <c:strCache>
                <c:ptCount val="1"/>
                <c:pt idx="0">
                  <c:v>Sum of Percentage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'Day13'!$A$13:$A$18</c:f>
              <c:strCache>
                <c:ptCount val="5"/>
                <c:pt idx="0">
                  <c:v>Alok</c:v>
                </c:pt>
                <c:pt idx="1">
                  <c:v>Anu</c:v>
                </c:pt>
                <c:pt idx="2">
                  <c:v>Riya</c:v>
                </c:pt>
                <c:pt idx="3">
                  <c:v>Sanskriti</c:v>
                </c:pt>
                <c:pt idx="4">
                  <c:v>Shubh</c:v>
                </c:pt>
              </c:strCache>
            </c:strRef>
          </c:cat>
          <c:val>
            <c:numRef>
              <c:f>'Day13'!$C$13:$C$18</c:f>
              <c:numCache>
                <c:formatCode>General</c:formatCode>
                <c:ptCount val="5"/>
                <c:pt idx="0">
                  <c:v>64.400000000000006</c:v>
                </c:pt>
                <c:pt idx="1">
                  <c:v>83.2</c:v>
                </c:pt>
                <c:pt idx="2">
                  <c:v>71.599999999999994</c:v>
                </c:pt>
                <c:pt idx="3">
                  <c:v>88.2</c:v>
                </c:pt>
                <c:pt idx="4">
                  <c:v>90</c:v>
                </c:pt>
              </c:numCache>
            </c:numRef>
          </c:val>
          <c:smooth val="0"/>
          <c:extLst>
            <c:ext xmlns:c16="http://schemas.microsoft.com/office/drawing/2014/chart" uri="{C3380CC4-5D6E-409C-BE32-E72D297353CC}">
              <c16:uniqueId val="{00000001-05B2-45C9-BDA7-5E270F86649D}"/>
            </c:ext>
          </c:extLst>
        </c:ser>
        <c:dLbls>
          <c:showLegendKey val="0"/>
          <c:showVal val="0"/>
          <c:showCatName val="0"/>
          <c:showSerName val="0"/>
          <c:showPercent val="0"/>
          <c:showBubbleSize val="0"/>
        </c:dLbls>
        <c:marker val="1"/>
        <c:smooth val="0"/>
        <c:axId val="178126656"/>
        <c:axId val="51609008"/>
      </c:lineChart>
      <c:catAx>
        <c:axId val="17812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09008"/>
        <c:crosses val="autoZero"/>
        <c:auto val="1"/>
        <c:lblAlgn val="ctr"/>
        <c:lblOffset val="100"/>
        <c:noMultiLvlLbl val="0"/>
      </c:catAx>
      <c:valAx>
        <c:axId val="5160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26656"/>
        <c:crosses val="autoZero"/>
        <c:crossBetween val="between"/>
      </c:valAx>
      <c:valAx>
        <c:axId val="51608528"/>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46608"/>
        <c:crosses val="max"/>
        <c:crossBetween val="between"/>
      </c:valAx>
      <c:catAx>
        <c:axId val="178146608"/>
        <c:scaling>
          <c:orientation val="minMax"/>
        </c:scaling>
        <c:delete val="1"/>
        <c:axPos val="l"/>
        <c:numFmt formatCode="General" sourceLinked="1"/>
        <c:majorTickMark val="out"/>
        <c:minorTickMark val="none"/>
        <c:tickLblPos val="nextTo"/>
        <c:crossAx val="516085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[15_Days_Task.xlsx]Day13!PivotTable4</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doughnutChart>
        <c:varyColors val="1"/>
        <c:ser>
          <c:idx val="0"/>
          <c:order val="0"/>
          <c:tx>
            <c:strRef>
              <c:f>'Day13'!$J$6</c:f>
              <c:strCache>
                <c:ptCount val="1"/>
                <c:pt idx="0">
                  <c:v>Sum of Mathematics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C5-4C54-A01C-63E221588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C5-4C54-A01C-63E2215880F3}"/>
              </c:ext>
            </c:extLst>
          </c:dPt>
          <c:cat>
            <c:strRef>
              <c:f>'Day13'!$I$7:$I$9</c:f>
              <c:strCache>
                <c:ptCount val="2"/>
                <c:pt idx="0">
                  <c:v>Fail</c:v>
                </c:pt>
                <c:pt idx="1">
                  <c:v>Pass</c:v>
                </c:pt>
              </c:strCache>
            </c:strRef>
          </c:cat>
          <c:val>
            <c:numRef>
              <c:f>'Day13'!$J$7:$J$9</c:f>
              <c:numCache>
                <c:formatCode>General</c:formatCode>
                <c:ptCount val="2"/>
                <c:pt idx="0">
                  <c:v>88</c:v>
                </c:pt>
                <c:pt idx="1">
                  <c:v>329</c:v>
                </c:pt>
              </c:numCache>
            </c:numRef>
          </c:val>
          <c:extLst>
            <c:ext xmlns:c16="http://schemas.microsoft.com/office/drawing/2014/chart" uri="{C3380CC4-5D6E-409C-BE32-E72D297353CC}">
              <c16:uniqueId val="{00000004-BFC5-4C54-A01C-63E2215880F3}"/>
            </c:ext>
          </c:extLst>
        </c:ser>
        <c:ser>
          <c:idx val="1"/>
          <c:order val="1"/>
          <c:tx>
            <c:strRef>
              <c:f>'Day13'!$K$6</c:f>
              <c:strCache>
                <c:ptCount val="1"/>
                <c:pt idx="0">
                  <c:v>Sum of Science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FC5-4C54-A01C-63E221588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FC5-4C54-A01C-63E2215880F3}"/>
              </c:ext>
            </c:extLst>
          </c:dPt>
          <c:cat>
            <c:strRef>
              <c:f>'Day13'!$I$7:$I$9</c:f>
              <c:strCache>
                <c:ptCount val="2"/>
                <c:pt idx="0">
                  <c:v>Fail</c:v>
                </c:pt>
                <c:pt idx="1">
                  <c:v>Pass</c:v>
                </c:pt>
              </c:strCache>
            </c:strRef>
          </c:cat>
          <c:val>
            <c:numRef>
              <c:f>'Day13'!$K$7:$K$9</c:f>
              <c:numCache>
                <c:formatCode>General</c:formatCode>
                <c:ptCount val="2"/>
                <c:pt idx="0">
                  <c:v>93</c:v>
                </c:pt>
                <c:pt idx="1">
                  <c:v>264</c:v>
                </c:pt>
              </c:numCache>
            </c:numRef>
          </c:val>
          <c:extLst>
            <c:ext xmlns:c16="http://schemas.microsoft.com/office/drawing/2014/chart" uri="{C3380CC4-5D6E-409C-BE32-E72D297353CC}">
              <c16:uniqueId val="{00000009-BFC5-4C54-A01C-63E2215880F3}"/>
            </c:ext>
          </c:extLst>
        </c:ser>
        <c:ser>
          <c:idx val="2"/>
          <c:order val="2"/>
          <c:tx>
            <c:strRef>
              <c:f>'Day13'!$L$6</c:f>
              <c:strCache>
                <c:ptCount val="1"/>
                <c:pt idx="0">
                  <c:v>Sum of English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BFC5-4C54-A01C-63E221588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BFC5-4C54-A01C-63E2215880F3}"/>
              </c:ext>
            </c:extLst>
          </c:dPt>
          <c:cat>
            <c:strRef>
              <c:f>'Day13'!$I$7:$I$9</c:f>
              <c:strCache>
                <c:ptCount val="2"/>
                <c:pt idx="0">
                  <c:v>Fail</c:v>
                </c:pt>
                <c:pt idx="1">
                  <c:v>Pass</c:v>
                </c:pt>
              </c:strCache>
            </c:strRef>
          </c:cat>
          <c:val>
            <c:numRef>
              <c:f>'Day13'!$L$7:$L$9</c:f>
              <c:numCache>
                <c:formatCode>General</c:formatCode>
                <c:ptCount val="2"/>
                <c:pt idx="0">
                  <c:v>1</c:v>
                </c:pt>
                <c:pt idx="1">
                  <c:v>342</c:v>
                </c:pt>
              </c:numCache>
            </c:numRef>
          </c:val>
          <c:extLst>
            <c:ext xmlns:c16="http://schemas.microsoft.com/office/drawing/2014/chart" uri="{C3380CC4-5D6E-409C-BE32-E72D297353CC}">
              <c16:uniqueId val="{0000000E-BFC5-4C54-A01C-63E2215880F3}"/>
            </c:ext>
          </c:extLst>
        </c:ser>
        <c:ser>
          <c:idx val="3"/>
          <c:order val="3"/>
          <c:tx>
            <c:strRef>
              <c:f>'Day13'!$M$6</c:f>
              <c:strCache>
                <c:ptCount val="1"/>
                <c:pt idx="0">
                  <c:v>Sum of Computer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BFC5-4C54-A01C-63E221588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BFC5-4C54-A01C-63E2215880F3}"/>
              </c:ext>
            </c:extLst>
          </c:dPt>
          <c:cat>
            <c:strRef>
              <c:f>'Day13'!$I$7:$I$9</c:f>
              <c:strCache>
                <c:ptCount val="2"/>
                <c:pt idx="0">
                  <c:v>Fail</c:v>
                </c:pt>
                <c:pt idx="1">
                  <c:v>Pass</c:v>
                </c:pt>
              </c:strCache>
            </c:strRef>
          </c:cat>
          <c:val>
            <c:numRef>
              <c:f>'Day13'!$M$7:$M$9</c:f>
              <c:numCache>
                <c:formatCode>General</c:formatCode>
                <c:ptCount val="2"/>
                <c:pt idx="0">
                  <c:v>89</c:v>
                </c:pt>
                <c:pt idx="1">
                  <c:v>363</c:v>
                </c:pt>
              </c:numCache>
            </c:numRef>
          </c:val>
          <c:extLst>
            <c:ext xmlns:c16="http://schemas.microsoft.com/office/drawing/2014/chart" uri="{C3380CC4-5D6E-409C-BE32-E72D297353CC}">
              <c16:uniqueId val="{00000013-BFC5-4C54-A01C-63E2215880F3}"/>
            </c:ext>
          </c:extLst>
        </c:ser>
        <c:ser>
          <c:idx val="4"/>
          <c:order val="4"/>
          <c:tx>
            <c:strRef>
              <c:f>'Day13'!$N$6</c:f>
              <c:strCache>
                <c:ptCount val="1"/>
                <c:pt idx="0">
                  <c:v>Sum of Social Science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BFC5-4C54-A01C-63E221588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BFC5-4C54-A01C-63E2215880F3}"/>
              </c:ext>
            </c:extLst>
          </c:dPt>
          <c:cat>
            <c:strRef>
              <c:f>'Day13'!$I$7:$I$9</c:f>
              <c:strCache>
                <c:ptCount val="2"/>
                <c:pt idx="0">
                  <c:v>Fail</c:v>
                </c:pt>
                <c:pt idx="1">
                  <c:v>Pass</c:v>
                </c:pt>
              </c:strCache>
            </c:strRef>
          </c:cat>
          <c:val>
            <c:numRef>
              <c:f>'Day13'!$N$7:$N$9</c:f>
              <c:numCache>
                <c:formatCode>General</c:formatCode>
                <c:ptCount val="2"/>
                <c:pt idx="0">
                  <c:v>87</c:v>
                </c:pt>
                <c:pt idx="1">
                  <c:v>331</c:v>
                </c:pt>
              </c:numCache>
            </c:numRef>
          </c:val>
          <c:extLst>
            <c:ext xmlns:c16="http://schemas.microsoft.com/office/drawing/2014/chart" uri="{C3380CC4-5D6E-409C-BE32-E72D297353CC}">
              <c16:uniqueId val="{00000018-BFC5-4C54-A01C-63E2215880F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[15_Days_Task.xlsx]Day13!PivotTable3</c:name>
    <c:fmtId val="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'Day13'!$B$22</c:f>
              <c:strCache>
                <c:ptCount val="1"/>
                <c:pt idx="0">
                  <c:v>Sum of Mathematics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'Day13'!$A$23:$A$28</c:f>
              <c:strCache>
                <c:ptCount val="5"/>
                <c:pt idx="0">
                  <c:v>Alok</c:v>
                </c:pt>
                <c:pt idx="1">
                  <c:v>Anu</c:v>
                </c:pt>
                <c:pt idx="2">
                  <c:v>Riya</c:v>
                </c:pt>
                <c:pt idx="3">
                  <c:v>Sanskriti</c:v>
                </c:pt>
                <c:pt idx="4">
                  <c:v>Shubh</c:v>
                </c:pt>
              </c:strCache>
            </c:strRef>
          </c:cat>
          <c:val>
            <c:numRef>
              <c:f>'Day13'!$B$23:$B$28</c:f>
              <c:numCache>
                <c:formatCode>General</c:formatCode>
                <c:ptCount val="5"/>
                <c:pt idx="0">
                  <c:v>74</c:v>
                </c:pt>
                <c:pt idx="1">
                  <c:v>78</c:v>
                </c:pt>
                <c:pt idx="2">
                  <c:v>88</c:v>
                </c:pt>
                <c:pt idx="3">
                  <c:v>85</c:v>
                </c:pt>
                <c:pt idx="4">
                  <c:v>92</c:v>
                </c:pt>
              </c:numCache>
            </c:numRef>
          </c:val>
          <c:smooth val="0"/>
          <c:extLst>
            <c:ext xmlns:c16="http://schemas.microsoft.com/office/drawing/2014/chart" uri="{C3380CC4-5D6E-409C-BE32-E72D297353CC}">
              <c16:uniqueId val="{00000000-A8A7-4BF0-88FF-265D0D817AB1}"/>
            </c:ext>
          </c:extLst>
        </c:ser>
        <c:ser>
          <c:idx val="1"/>
          <c:order val="1"/>
          <c:tx>
            <c:strRef>
              <c:f>'Day13'!$C$22</c:f>
              <c:strCache>
                <c:ptCount val="1"/>
                <c:pt idx="0">
                  <c:v>Sum of Science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'Day13'!$A$23:$A$28</c:f>
              <c:strCache>
                <c:ptCount val="5"/>
                <c:pt idx="0">
                  <c:v>Alok</c:v>
                </c:pt>
                <c:pt idx="1">
                  <c:v>Anu</c:v>
                </c:pt>
                <c:pt idx="2">
                  <c:v>Riya</c:v>
                </c:pt>
                <c:pt idx="3">
                  <c:v>Sanskriti</c:v>
                </c:pt>
                <c:pt idx="4">
                  <c:v>Shubh</c:v>
                </c:pt>
              </c:strCache>
            </c:strRef>
          </c:cat>
          <c:val>
            <c:numRef>
              <c:f>'Day13'!$C$23:$C$28</c:f>
              <c:numCache>
                <c:formatCode>General</c:formatCode>
                <c:ptCount val="5"/>
                <c:pt idx="1">
                  <c:v>84</c:v>
                </c:pt>
                <c:pt idx="2">
                  <c:v>93</c:v>
                </c:pt>
                <c:pt idx="3">
                  <c:v>91</c:v>
                </c:pt>
                <c:pt idx="4">
                  <c:v>89</c:v>
                </c:pt>
              </c:numCache>
            </c:numRef>
          </c:val>
          <c:smooth val="0"/>
          <c:extLst>
            <c:ext xmlns:c16="http://schemas.microsoft.com/office/drawing/2014/chart" uri="{C3380CC4-5D6E-409C-BE32-E72D297353CC}">
              <c16:uniqueId val="{00000001-A8A7-4BF0-88FF-265D0D817AB1}"/>
            </c:ext>
          </c:extLst>
        </c:ser>
        <c:ser>
          <c:idx val="2"/>
          <c:order val="2"/>
          <c:tx>
            <c:strRef>
              <c:f>'Day13'!$D$22</c:f>
              <c:strCache>
                <c:ptCount val="1"/>
                <c:pt idx="0">
                  <c:v>Sum of English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'Day13'!$A$23:$A$28</c:f>
              <c:strCache>
                <c:ptCount val="5"/>
                <c:pt idx="0">
                  <c:v>Alok</c:v>
                </c:pt>
                <c:pt idx="1">
                  <c:v>Anu</c:v>
                </c:pt>
                <c:pt idx="2">
                  <c:v>Riya</c:v>
                </c:pt>
                <c:pt idx="3">
                  <c:v>Sanskriti</c:v>
                </c:pt>
                <c:pt idx="4">
                  <c:v>Shubh</c:v>
                </c:pt>
              </c:strCache>
            </c:strRef>
          </c:cat>
          <c:val>
            <c:numRef>
              <c:f>'Day13'!$D$23:$D$28</c:f>
              <c:numCache>
                <c:formatCode>General</c:formatCode>
                <c:ptCount val="5"/>
                <c:pt idx="0">
                  <c:v>79</c:v>
                </c:pt>
                <c:pt idx="1">
                  <c:v>90</c:v>
                </c:pt>
                <c:pt idx="2">
                  <c:v>1</c:v>
                </c:pt>
                <c:pt idx="3">
                  <c:v>88</c:v>
                </c:pt>
                <c:pt idx="4">
                  <c:v>85</c:v>
                </c:pt>
              </c:numCache>
            </c:numRef>
          </c:val>
          <c:smooth val="0"/>
          <c:extLst>
            <c:ext xmlns:c16="http://schemas.microsoft.com/office/drawing/2014/chart" uri="{C3380CC4-5D6E-409C-BE32-E72D297353CC}">
              <c16:uniqueId val="{00000002-A8A7-4BF0-88FF-265D0D817AB1}"/>
            </c:ext>
          </c:extLst>
        </c:ser>
        <c:ser>
          <c:idx val="3"/>
          <c:order val="3"/>
          <c:tx>
            <c:strRef>
              <c:f>'Day13'!$E$22</c:f>
              <c:strCache>
                <c:ptCount val="1"/>
                <c:pt idx="0">
                  <c:v>Sum of Computer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'Day13'!$A$23:$A$28</c:f>
              <c:strCache>
                <c:ptCount val="5"/>
                <c:pt idx="0">
                  <c:v>Alok</c:v>
                </c:pt>
                <c:pt idx="1">
                  <c:v>Anu</c:v>
                </c:pt>
                <c:pt idx="2">
                  <c:v>Riya</c:v>
                </c:pt>
                <c:pt idx="3">
                  <c:v>Sanskriti</c:v>
                </c:pt>
                <c:pt idx="4">
                  <c:v>Shubh</c:v>
                </c:pt>
              </c:strCache>
            </c:strRef>
          </c:cat>
          <c:val>
            <c:numRef>
              <c:f>'Day13'!$E$23:$E$28</c:f>
              <c:numCache>
                <c:formatCode>General</c:formatCode>
                <c:ptCount val="5"/>
                <c:pt idx="0">
                  <c:v>86</c:v>
                </c:pt>
                <c:pt idx="1">
                  <c:v>88</c:v>
                </c:pt>
                <c:pt idx="2">
                  <c:v>89</c:v>
                </c:pt>
                <c:pt idx="3">
                  <c:v>95</c:v>
                </c:pt>
                <c:pt idx="4">
                  <c:v>94</c:v>
                </c:pt>
              </c:numCache>
            </c:numRef>
          </c:val>
          <c:smooth val="0"/>
          <c:extLst>
            <c:ext xmlns:c16="http://schemas.microsoft.com/office/drawing/2014/chart" uri="{C3380CC4-5D6E-409C-BE32-E72D297353CC}">
              <c16:uniqueId val="{00000003-A8A7-4BF0-88FF-265D0D817AB1}"/>
            </c:ext>
          </c:extLst>
        </c:ser>
        <c:ser>
          <c:idx val="4"/>
          <c:order val="4"/>
          <c:tx>
            <c:strRef>
              <c:f>'Day13'!$F$22</c:f>
              <c:strCache>
                <c:ptCount val="1"/>
                <c:pt idx="0">
                  <c:v>Sum of Social Science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'Day13'!$A$23:$A$28</c:f>
              <c:strCache>
                <c:ptCount val="5"/>
                <c:pt idx="0">
                  <c:v>Alok</c:v>
                </c:pt>
                <c:pt idx="1">
                  <c:v>Anu</c:v>
                </c:pt>
                <c:pt idx="2">
                  <c:v>Riya</c:v>
                </c:pt>
                <c:pt idx="3">
                  <c:v>Sanskriti</c:v>
                </c:pt>
                <c:pt idx="4">
                  <c:v>Shubh</c:v>
                </c:pt>
              </c:strCache>
            </c:strRef>
          </c:cat>
          <c:val>
            <c:numRef>
              <c:f>'Day13'!$F$23:$F$28</c:f>
              <c:numCache>
                <c:formatCode>General</c:formatCode>
                <c:ptCount val="5"/>
                <c:pt idx="0">
                  <c:v>83</c:v>
                </c:pt>
                <c:pt idx="1">
                  <c:v>76</c:v>
                </c:pt>
                <c:pt idx="2">
                  <c:v>87</c:v>
                </c:pt>
                <c:pt idx="3">
                  <c:v>82</c:v>
                </c:pt>
                <c:pt idx="4">
                  <c:v>90</c:v>
                </c:pt>
              </c:numCache>
            </c:numRef>
          </c:val>
          <c:smooth val="0"/>
          <c:extLst>
            <c:ext xmlns:c16="http://schemas.microsoft.com/office/drawing/2014/chart" uri="{C3380CC4-5D6E-409C-BE32-E72D297353CC}">
              <c16:uniqueId val="{00000004-A8A7-4BF0-88FF-265D0D817AB1}"/>
            </c:ext>
          </c:extLst>
        </c:ser>
        <c:dLbls>
          <c:showLegendKey val="0"/>
          <c:showVal val="0"/>
          <c:showCatName val="0"/>
          <c:showSerName val="0"/>
          <c:showPercent val="0"/>
          <c:showBubbleSize val="0"/>
        </c:dLbls>
        <c:marker val="1"/>
        <c:smooth val="0"/>
        <c:axId val="159945216"/>
        <c:axId val="51628208"/>
      </c:lineChart>
      <c:catAx>
        <c:axId val="15994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28208"/>
        <c:crosses val="autoZero"/>
        <c:auto val="1"/>
        <c:lblAlgn val="ctr"/>
        <c:lblOffset val="100"/>
        <c:noMultiLvlLbl val="0"/>
      </c:catAx>
      <c:valAx>
        <c:axId val="5162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45216"/>
        <c:crosses val="autoZero"/>
        <c:crossBetween val="between"/>
      </c:valAx>
      <c:spPr>
        <a:noFill/>
        <a:ln>
          <a:noFill/>
        </a:ln>
        <a:effectLst/>
      </c:spPr>
    </c:plotArea>
    <c:legend>
      <c:legendPos val="r"/>
      <c:layout>
        <c:manualLayout>
          <c:xMode val="edge"/>
          <c:yMode val="edge"/>
          <c:x val="0.62161393008783561"/>
          <c:y val="9.477244765673791E-2"/>
          <c:w val="0.34835073700873309"/>
          <c:h val="0.8104551046865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669664</xdr:colOff>
      <xdr:row>10</xdr:row>
      <xdr:rowOff>26447</xdr:rowOff>
    </xdr:from>
    <xdr:to>
      <xdr:col>6</xdr:col>
      <xdr:colOff>52444</xdr:colOff>
      <xdr:row>19</xdr:row>
      <xdr:rowOff>160021</xdr:rowOff>
    </xdr:to>
    <xdr:graphicFrame macro="">
      <xdr:nvGraphicFramePr>
        <xdr:cNvPr id="2" name="Chart 1">
          <a:extLst>
            <a:ext uri="{FF2B5EF4-FFF2-40B4-BE49-F238E27FC236}">
              <a16:creationId xmlns:a16="http://schemas.microsoft.com/office/drawing/2014/main" id="{85906A0C-EDDB-F757-DC65-B4D0515E9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20</xdr:row>
      <xdr:rowOff>129540</xdr:rowOff>
    </xdr:from>
    <xdr:to>
      <xdr:col>9</xdr:col>
      <xdr:colOff>762000</xdr:colOff>
      <xdr:row>30</xdr:row>
      <xdr:rowOff>152400</xdr:rowOff>
    </xdr:to>
    <xdr:graphicFrame macro="">
      <xdr:nvGraphicFramePr>
        <xdr:cNvPr id="3" name="Chart 2">
          <a:extLst>
            <a:ext uri="{FF2B5EF4-FFF2-40B4-BE49-F238E27FC236}">
              <a16:creationId xmlns:a16="http://schemas.microsoft.com/office/drawing/2014/main" id="{32AC0C98-8A00-0F7E-0905-4C714C636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1219200</xdr:colOff>
      <xdr:row>9</xdr:row>
      <xdr:rowOff>121920</xdr:rowOff>
    </xdr:from>
    <xdr:to>
      <xdr:col>12</xdr:col>
      <xdr:colOff>906780</xdr:colOff>
      <xdr:row>21</xdr:row>
      <xdr:rowOff>7620</xdr:rowOff>
    </xdr:to>
    <xdr:graphicFrame macro="">
      <xdr:nvGraphicFramePr>
        <xdr:cNvPr id="4" name="Chart 3">
          <a:extLst>
            <a:ext uri="{FF2B5EF4-FFF2-40B4-BE49-F238E27FC236}">
              <a16:creationId xmlns:a16="http://schemas.microsoft.com/office/drawing/2014/main" id="{65FDCF51-6F76-D8AA-A52E-F0B05A06D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971325</xdr:colOff>
      <xdr:row>21</xdr:row>
      <xdr:rowOff>125506</xdr:rowOff>
    </xdr:from>
    <xdr:to>
      <xdr:col>11</xdr:col>
      <xdr:colOff>460337</xdr:colOff>
      <xdr:row>35</xdr:row>
      <xdr:rowOff>82363</xdr:rowOff>
    </xdr:to>
    <mc:AlternateContent xmlns:mc="http://schemas.openxmlformats.org/markup-compatibility/2006">
      <mc:Choice xmlns:a14="http://schemas.microsoft.com/office/drawing/2010/main" Requires="a14">
        <xdr:graphicFrame macro="">
          <xdr:nvGraphicFramePr>
            <xdr:cNvPr id="5" name="Student ID">
              <a:extLst>
                <a:ext uri="{FF2B5EF4-FFF2-40B4-BE49-F238E27FC236}">
                  <a16:creationId xmlns:a16="http://schemas.microsoft.com/office/drawing/2014/main" id="{6F51DA2D-2A68-58DD-68C0-E1AC7866E506}"/>
                </a:ext>
              </a:extLst>
            </xdr:cNvPr>
            <xdr:cNvGraphicFramePr/>
          </xdr:nvGraphicFramePr>
          <xdr:xfrm>
            <a:off x="0" y="0"/>
            <a:ext cx="0" cy="0"/>
          </xdr:xfrm>
          <a:graphic>
            <a:graphicData uri="http://schemas.microsoft.com/office/drawing/2010/slicer">
              <sle:slicer xmlns:sle="http://schemas.microsoft.com/office/drawing/2010/slicer" name="Student ID"/>
            </a:graphicData>
          </a:graphic>
        </xdr:graphicFrame>
      </mc:Choice>
      <mc:Fallback>
        <xdr:sp macro="" textlink="">
          <xdr:nvSpPr>
            <xdr:cNvPr id="0" name=""/>
            <xdr:cNvSpPr>
              <a:spLocks noTextEdit="1"/>
            </xdr:cNvSpPr>
          </xdr:nvSpPr>
          <xdr:spPr>
            <a:xfrm>
              <a:off x="9622266" y="389068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357693</xdr:colOff>
      <xdr:row>22</xdr:row>
      <xdr:rowOff>31825</xdr:rowOff>
    </xdr:from>
    <xdr:to>
      <xdr:col>13</xdr:col>
      <xdr:colOff>1039011</xdr:colOff>
      <xdr:row>35</xdr:row>
      <xdr:rowOff>167977</xdr:rowOff>
    </xdr:to>
    <mc:AlternateContent xmlns:mc="http://schemas.openxmlformats.org/markup-compatibility/2006">
      <mc:Choice xmlns:a14="http://schemas.microsoft.com/office/drawing/2010/main" Requires="a14">
        <xdr:graphicFrame macro="">
          <xdr:nvGraphicFramePr>
            <xdr:cNvPr id="6" name="Last Name">
              <a:extLst>
                <a:ext uri="{FF2B5EF4-FFF2-40B4-BE49-F238E27FC236}">
                  <a16:creationId xmlns:a16="http://schemas.microsoft.com/office/drawing/2014/main" id="{E0DB7EA6-8A1B-B888-ED80-17B613FD153A}"/>
                </a:ext>
              </a:extLst>
            </xdr:cNvPr>
            <xdr:cNvGraphicFramePr/>
          </xdr:nvGraphicFramePr>
          <xdr:xfrm>
            <a:off x="0" y="0"/>
            <a:ext cx="0" cy="0"/>
          </xdr:xfrm>
          <a:graphic>
            <a:graphicData uri="http://schemas.microsoft.com/office/drawing/2010/slicer">
              <sle:slicer xmlns:sle="http://schemas.microsoft.com/office/drawing/2010/slicer" name="Last Name"/>
            </a:graphicData>
          </a:graphic>
        </xdr:graphicFrame>
      </mc:Choice>
      <mc:Fallback>
        <xdr:sp macro="" textlink="">
          <xdr:nvSpPr>
            <xdr:cNvPr id="0" name=""/>
            <xdr:cNvSpPr>
              <a:spLocks noTextEdit="1"/>
            </xdr:cNvSpPr>
          </xdr:nvSpPr>
          <xdr:spPr>
            <a:xfrm>
              <a:off x="12316611" y="397629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102645</xdr:colOff>
      <xdr:row>14</xdr:row>
      <xdr:rowOff>171225</xdr:rowOff>
    </xdr:from>
    <xdr:to>
      <xdr:col>17</xdr:col>
      <xdr:colOff>102645</xdr:colOff>
      <xdr:row>28</xdr:row>
      <xdr:rowOff>128083</xdr:rowOff>
    </xdr:to>
    <mc:AlternateContent xmlns:mc="http://schemas.openxmlformats.org/markup-compatibility/2006">
      <mc:Choice xmlns:a14="http://schemas.microsoft.com/office/drawing/2010/main" Requires="a14">
        <xdr:graphicFrame macro="">
          <xdr:nvGraphicFramePr>
            <xdr:cNvPr id="7" name="Is_Fail">
              <a:extLst>
                <a:ext uri="{FF2B5EF4-FFF2-40B4-BE49-F238E27FC236}">
                  <a16:creationId xmlns:a16="http://schemas.microsoft.com/office/drawing/2014/main" id="{0363D894-320E-93BC-9322-4D9DBBE76045}"/>
                </a:ext>
              </a:extLst>
            </xdr:cNvPr>
            <xdr:cNvGraphicFramePr/>
          </xdr:nvGraphicFramePr>
          <xdr:xfrm>
            <a:off x="0" y="0"/>
            <a:ext cx="0" cy="0"/>
          </xdr:xfrm>
          <a:graphic>
            <a:graphicData uri="http://schemas.microsoft.com/office/drawing/2010/slicer">
              <sle:slicer xmlns:sle="http://schemas.microsoft.com/office/drawing/2010/slicer" name="Is_Fail"/>
            </a:graphicData>
          </a:graphic>
        </xdr:graphicFrame>
      </mc:Choice>
      <mc:Fallback>
        <xdr:sp macro="" textlink="">
          <xdr:nvSpPr>
            <xdr:cNvPr id="0" name=""/>
            <xdr:cNvSpPr>
              <a:spLocks noTextEdit="1"/>
            </xdr:cNvSpPr>
          </xdr:nvSpPr>
          <xdr:spPr>
            <a:xfrm>
              <a:off x="14607539" y="268134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188258</xdr:colOff>
      <xdr:row>10</xdr:row>
      <xdr:rowOff>17929</xdr:rowOff>
    </xdr:from>
    <xdr:to>
      <xdr:col>7</xdr:col>
      <xdr:colOff>62752</xdr:colOff>
      <xdr:row>15</xdr:row>
      <xdr:rowOff>107576</xdr:rowOff>
    </xdr:to>
    <xdr:sp macro="" textlink="">
      <xdr:nvSpPr>
        <xdr:cNvPr id="2" name="Rectangle: Rounded Corners 1">
          <a:extLst>
            <a:ext uri="{FF2B5EF4-FFF2-40B4-BE49-F238E27FC236}">
              <a16:creationId xmlns:a16="http://schemas.microsoft.com/office/drawing/2014/main" id="{F87437BE-47A5-0AA7-0A55-0D668C693620}"/>
            </a:ext>
          </a:extLst>
        </xdr:cNvPr>
        <xdr:cNvSpPr/>
      </xdr:nvSpPr>
      <xdr:spPr>
        <a:xfrm>
          <a:off x="1407458" y="1810870"/>
          <a:ext cx="2922494" cy="9861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STUDENT MARKS DASHBOARD</a:t>
          </a:r>
        </a:p>
        <a:p>
          <a:pPr algn="l"/>
          <a:endParaRPr lang="en-IN" sz="1100"/>
        </a:p>
      </xdr:txBody>
    </xdr:sp>
    <xdr:clientData/>
  </xdr:twoCellAnchor>
  <xdr:twoCellAnchor>
    <xdr:from>
      <xdr:col>7</xdr:col>
      <xdr:colOff>233081</xdr:colOff>
      <xdr:row>9</xdr:row>
      <xdr:rowOff>179293</xdr:rowOff>
    </xdr:from>
    <xdr:to>
      <xdr:col>9</xdr:col>
      <xdr:colOff>62752</xdr:colOff>
      <xdr:row>15</xdr:row>
      <xdr:rowOff>71715</xdr:rowOff>
    </xdr:to>
    <xdr:sp macro="" textlink="">
      <xdr:nvSpPr>
        <xdr:cNvPr id="3" name="Rectangle: Rounded Corners 2">
          <a:extLst>
            <a:ext uri="{FF2B5EF4-FFF2-40B4-BE49-F238E27FC236}">
              <a16:creationId xmlns:a16="http://schemas.microsoft.com/office/drawing/2014/main" id="{5141EFAA-07EB-4E6D-88F4-F4CC6EF72118}"/>
            </a:ext>
          </a:extLst>
        </xdr:cNvPr>
        <xdr:cNvSpPr/>
      </xdr:nvSpPr>
      <xdr:spPr>
        <a:xfrm>
          <a:off x="4500281" y="1792940"/>
          <a:ext cx="1048871" cy="968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Total</a:t>
          </a:r>
          <a:r>
            <a:rPr lang="en-IN" sz="1200" baseline="0"/>
            <a:t> In Maths</a:t>
          </a:r>
        </a:p>
        <a:p>
          <a:pPr algn="l"/>
          <a:endParaRPr lang="en-IN" sz="1200"/>
        </a:p>
      </xdr:txBody>
    </xdr:sp>
    <xdr:clientData/>
  </xdr:twoCellAnchor>
  <xdr:twoCellAnchor>
    <xdr:from>
      <xdr:col>9</xdr:col>
      <xdr:colOff>179293</xdr:colOff>
      <xdr:row>9</xdr:row>
      <xdr:rowOff>161364</xdr:rowOff>
    </xdr:from>
    <xdr:to>
      <xdr:col>11</xdr:col>
      <xdr:colOff>8964</xdr:colOff>
      <xdr:row>15</xdr:row>
      <xdr:rowOff>53786</xdr:rowOff>
    </xdr:to>
    <xdr:sp macro="" textlink="">
      <xdr:nvSpPr>
        <xdr:cNvPr id="7" name="Rectangle: Rounded Corners 6">
          <a:extLst>
            <a:ext uri="{FF2B5EF4-FFF2-40B4-BE49-F238E27FC236}">
              <a16:creationId xmlns:a16="http://schemas.microsoft.com/office/drawing/2014/main" id="{34D8881E-2559-4E6A-B21A-C7CF970ABDE4}"/>
            </a:ext>
          </a:extLst>
        </xdr:cNvPr>
        <xdr:cNvSpPr/>
      </xdr:nvSpPr>
      <xdr:spPr>
        <a:xfrm>
          <a:off x="5665693" y="1775011"/>
          <a:ext cx="1048871" cy="968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lt1"/>
              </a:solidFill>
              <a:effectLst/>
              <a:latin typeface="+mn-lt"/>
              <a:ea typeface="+mn-ea"/>
              <a:cs typeface="+mn-cs"/>
            </a:rPr>
            <a:t>Total</a:t>
          </a:r>
          <a:r>
            <a:rPr lang="en-IN" sz="1200" baseline="0">
              <a:solidFill>
                <a:schemeClr val="lt1"/>
              </a:solidFill>
              <a:effectLst/>
              <a:latin typeface="+mn-lt"/>
              <a:ea typeface="+mn-ea"/>
              <a:cs typeface="+mn-cs"/>
            </a:rPr>
            <a:t> In Science</a:t>
          </a:r>
          <a:endParaRPr lang="en-IN" sz="1200">
            <a:effectLst/>
          </a:endParaRPr>
        </a:p>
        <a:p>
          <a:pPr algn="l"/>
          <a:endParaRPr lang="en-IN" sz="1200"/>
        </a:p>
      </xdr:txBody>
    </xdr:sp>
    <xdr:clientData/>
  </xdr:twoCellAnchor>
  <xdr:twoCellAnchor>
    <xdr:from>
      <xdr:col>11</xdr:col>
      <xdr:colOff>152399</xdr:colOff>
      <xdr:row>9</xdr:row>
      <xdr:rowOff>152399</xdr:rowOff>
    </xdr:from>
    <xdr:to>
      <xdr:col>12</xdr:col>
      <xdr:colOff>591670</xdr:colOff>
      <xdr:row>15</xdr:row>
      <xdr:rowOff>44821</xdr:rowOff>
    </xdr:to>
    <xdr:sp macro="" textlink="">
      <xdr:nvSpPr>
        <xdr:cNvPr id="8" name="Rectangle: Rounded Corners 7">
          <a:extLst>
            <a:ext uri="{FF2B5EF4-FFF2-40B4-BE49-F238E27FC236}">
              <a16:creationId xmlns:a16="http://schemas.microsoft.com/office/drawing/2014/main" id="{C5DD7334-C48F-4834-A04B-49FBA244D696}"/>
            </a:ext>
          </a:extLst>
        </xdr:cNvPr>
        <xdr:cNvSpPr/>
      </xdr:nvSpPr>
      <xdr:spPr>
        <a:xfrm>
          <a:off x="6857999" y="1766046"/>
          <a:ext cx="1048871" cy="968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lt1"/>
              </a:solidFill>
              <a:effectLst/>
              <a:latin typeface="+mn-lt"/>
              <a:ea typeface="+mn-ea"/>
              <a:cs typeface="+mn-cs"/>
            </a:rPr>
            <a:t>Total</a:t>
          </a:r>
          <a:r>
            <a:rPr lang="en-IN" sz="1200" baseline="0">
              <a:solidFill>
                <a:schemeClr val="lt1"/>
              </a:solidFill>
              <a:effectLst/>
              <a:latin typeface="+mn-lt"/>
              <a:ea typeface="+mn-ea"/>
              <a:cs typeface="+mn-cs"/>
            </a:rPr>
            <a:t> In Social Science</a:t>
          </a:r>
          <a:endParaRPr lang="en-IN" sz="1200">
            <a:effectLst/>
          </a:endParaRPr>
        </a:p>
        <a:p>
          <a:pPr algn="l"/>
          <a:endParaRPr lang="en-IN" sz="1200"/>
        </a:p>
      </xdr:txBody>
    </xdr:sp>
    <xdr:clientData/>
  </xdr:twoCellAnchor>
  <xdr:twoCellAnchor>
    <xdr:from>
      <xdr:col>13</xdr:col>
      <xdr:colOff>116540</xdr:colOff>
      <xdr:row>9</xdr:row>
      <xdr:rowOff>152399</xdr:rowOff>
    </xdr:from>
    <xdr:to>
      <xdr:col>14</xdr:col>
      <xdr:colOff>555811</xdr:colOff>
      <xdr:row>15</xdr:row>
      <xdr:rowOff>44821</xdr:rowOff>
    </xdr:to>
    <xdr:sp macro="" textlink="">
      <xdr:nvSpPr>
        <xdr:cNvPr id="9" name="Rectangle: Rounded Corners 8">
          <a:extLst>
            <a:ext uri="{FF2B5EF4-FFF2-40B4-BE49-F238E27FC236}">
              <a16:creationId xmlns:a16="http://schemas.microsoft.com/office/drawing/2014/main" id="{8159C3DB-5000-4CC8-BCEF-E1937D69F259}"/>
            </a:ext>
          </a:extLst>
        </xdr:cNvPr>
        <xdr:cNvSpPr/>
      </xdr:nvSpPr>
      <xdr:spPr>
        <a:xfrm>
          <a:off x="8041340" y="1766046"/>
          <a:ext cx="1048871" cy="968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lt1"/>
              </a:solidFill>
              <a:effectLst/>
              <a:latin typeface="+mn-lt"/>
              <a:ea typeface="+mn-ea"/>
              <a:cs typeface="+mn-cs"/>
            </a:rPr>
            <a:t>Total</a:t>
          </a:r>
          <a:r>
            <a:rPr lang="en-IN" sz="1200" baseline="0">
              <a:solidFill>
                <a:schemeClr val="lt1"/>
              </a:solidFill>
              <a:effectLst/>
              <a:latin typeface="+mn-lt"/>
              <a:ea typeface="+mn-ea"/>
              <a:cs typeface="+mn-cs"/>
            </a:rPr>
            <a:t> In Computer</a:t>
          </a:r>
          <a:endParaRPr lang="en-IN" sz="1200">
            <a:effectLst/>
          </a:endParaRPr>
        </a:p>
        <a:p>
          <a:pPr algn="l"/>
          <a:endParaRPr lang="en-IN" sz="1200"/>
        </a:p>
      </xdr:txBody>
    </xdr:sp>
    <xdr:clientData/>
  </xdr:twoCellAnchor>
  <xdr:twoCellAnchor>
    <xdr:from>
      <xdr:col>15</xdr:col>
      <xdr:colOff>53787</xdr:colOff>
      <xdr:row>9</xdr:row>
      <xdr:rowOff>152399</xdr:rowOff>
    </xdr:from>
    <xdr:to>
      <xdr:col>16</xdr:col>
      <xdr:colOff>493058</xdr:colOff>
      <xdr:row>15</xdr:row>
      <xdr:rowOff>44821</xdr:rowOff>
    </xdr:to>
    <xdr:sp macro="" textlink="">
      <xdr:nvSpPr>
        <xdr:cNvPr id="10" name="Rectangle: Rounded Corners 9">
          <a:extLst>
            <a:ext uri="{FF2B5EF4-FFF2-40B4-BE49-F238E27FC236}">
              <a16:creationId xmlns:a16="http://schemas.microsoft.com/office/drawing/2014/main" id="{39B5BF81-2781-42EE-B3DB-6EBD32D0ED2C}"/>
            </a:ext>
          </a:extLst>
        </xdr:cNvPr>
        <xdr:cNvSpPr/>
      </xdr:nvSpPr>
      <xdr:spPr>
        <a:xfrm>
          <a:off x="9197787" y="1766046"/>
          <a:ext cx="1048871" cy="968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lt1"/>
              </a:solidFill>
              <a:effectLst/>
              <a:latin typeface="+mn-lt"/>
              <a:ea typeface="+mn-ea"/>
              <a:cs typeface="+mn-cs"/>
            </a:rPr>
            <a:t>Total</a:t>
          </a:r>
          <a:r>
            <a:rPr lang="en-IN" sz="1200" baseline="0">
              <a:solidFill>
                <a:schemeClr val="lt1"/>
              </a:solidFill>
              <a:effectLst/>
              <a:latin typeface="+mn-lt"/>
              <a:ea typeface="+mn-ea"/>
              <a:cs typeface="+mn-cs"/>
            </a:rPr>
            <a:t> In English</a:t>
          </a:r>
          <a:endParaRPr lang="en-IN" sz="1200">
            <a:effectLst/>
          </a:endParaRPr>
        </a:p>
        <a:p>
          <a:pPr algn="l"/>
          <a:endParaRPr lang="en-IN" sz="1200"/>
        </a:p>
      </xdr:txBody>
    </xdr:sp>
    <xdr:clientData/>
  </xdr:twoCellAnchor>
  <xdr:twoCellAnchor>
    <xdr:from>
      <xdr:col>12</xdr:col>
      <xdr:colOff>80683</xdr:colOff>
      <xdr:row>16</xdr:row>
      <xdr:rowOff>71717</xdr:rowOff>
    </xdr:from>
    <xdr:to>
      <xdr:col>16</xdr:col>
      <xdr:colOff>493059</xdr:colOff>
      <xdr:row>30</xdr:row>
      <xdr:rowOff>125505</xdr:rowOff>
    </xdr:to>
    <xdr:sp macro="" textlink="">
      <xdr:nvSpPr>
        <xdr:cNvPr id="13" name="Rectangle: Rounded Corners 12">
          <a:extLst>
            <a:ext uri="{FF2B5EF4-FFF2-40B4-BE49-F238E27FC236}">
              <a16:creationId xmlns:a16="http://schemas.microsoft.com/office/drawing/2014/main" id="{AB6526A7-9DD5-437D-8785-55E80C3FBEF8}"/>
            </a:ext>
          </a:extLst>
        </xdr:cNvPr>
        <xdr:cNvSpPr/>
      </xdr:nvSpPr>
      <xdr:spPr>
        <a:xfrm>
          <a:off x="7395883" y="2940423"/>
          <a:ext cx="2850776" cy="25639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lt1"/>
              </a:solidFill>
              <a:effectLst/>
              <a:latin typeface="+mn-lt"/>
              <a:ea typeface="+mn-ea"/>
              <a:cs typeface="+mn-cs"/>
            </a:rPr>
            <a:t>Student</a:t>
          </a:r>
          <a:r>
            <a:rPr lang="en-IN" sz="1400" baseline="0">
              <a:solidFill>
                <a:schemeClr val="lt1"/>
              </a:solidFill>
              <a:effectLst/>
              <a:latin typeface="+mn-lt"/>
              <a:ea typeface="+mn-ea"/>
              <a:cs typeface="+mn-cs"/>
            </a:rPr>
            <a:t> v/s Total Marks in Subjects</a:t>
          </a:r>
        </a:p>
        <a:p>
          <a:pPr algn="l"/>
          <a:endParaRPr lang="en-IN" sz="1400"/>
        </a:p>
      </xdr:txBody>
    </xdr:sp>
    <xdr:clientData/>
  </xdr:twoCellAnchor>
  <xdr:twoCellAnchor>
    <xdr:from>
      <xdr:col>7</xdr:col>
      <xdr:colOff>134471</xdr:colOff>
      <xdr:row>16</xdr:row>
      <xdr:rowOff>62753</xdr:rowOff>
    </xdr:from>
    <xdr:to>
      <xdr:col>11</xdr:col>
      <xdr:colOff>546847</xdr:colOff>
      <xdr:row>30</xdr:row>
      <xdr:rowOff>116541</xdr:rowOff>
    </xdr:to>
    <xdr:sp macro="" textlink="">
      <xdr:nvSpPr>
        <xdr:cNvPr id="14" name="Rectangle: Rounded Corners 13">
          <a:extLst>
            <a:ext uri="{FF2B5EF4-FFF2-40B4-BE49-F238E27FC236}">
              <a16:creationId xmlns:a16="http://schemas.microsoft.com/office/drawing/2014/main" id="{E5DC7BC3-A15E-497F-AAD9-0C039FD1706C}"/>
            </a:ext>
          </a:extLst>
        </xdr:cNvPr>
        <xdr:cNvSpPr/>
      </xdr:nvSpPr>
      <xdr:spPr>
        <a:xfrm>
          <a:off x="4401671" y="2931459"/>
          <a:ext cx="2850776" cy="25639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lt1"/>
              </a:solidFill>
              <a:effectLst/>
              <a:latin typeface="+mn-lt"/>
              <a:ea typeface="+mn-ea"/>
              <a:cs typeface="+mn-cs"/>
            </a:rPr>
            <a:t>Total Marks of</a:t>
          </a:r>
          <a:r>
            <a:rPr lang="en-IN" sz="1400" baseline="0">
              <a:solidFill>
                <a:schemeClr val="lt1"/>
              </a:solidFill>
              <a:effectLst/>
              <a:latin typeface="+mn-lt"/>
              <a:ea typeface="+mn-ea"/>
              <a:cs typeface="+mn-cs"/>
            </a:rPr>
            <a:t> Fail and Pass</a:t>
          </a:r>
          <a:endParaRPr lang="en-IN" sz="1400"/>
        </a:p>
      </xdr:txBody>
    </xdr:sp>
    <xdr:clientData/>
  </xdr:twoCellAnchor>
  <xdr:twoCellAnchor>
    <xdr:from>
      <xdr:col>2</xdr:col>
      <xdr:colOff>188259</xdr:colOff>
      <xdr:row>16</xdr:row>
      <xdr:rowOff>71717</xdr:rowOff>
    </xdr:from>
    <xdr:to>
      <xdr:col>6</xdr:col>
      <xdr:colOff>600635</xdr:colOff>
      <xdr:row>30</xdr:row>
      <xdr:rowOff>125505</xdr:rowOff>
    </xdr:to>
    <xdr:sp macro="" textlink="">
      <xdr:nvSpPr>
        <xdr:cNvPr id="15" name="Rectangle: Rounded Corners 14">
          <a:extLst>
            <a:ext uri="{FF2B5EF4-FFF2-40B4-BE49-F238E27FC236}">
              <a16:creationId xmlns:a16="http://schemas.microsoft.com/office/drawing/2014/main" id="{AC3556A7-8096-4FA6-99C2-E80EBA6737DE}"/>
            </a:ext>
          </a:extLst>
        </xdr:cNvPr>
        <xdr:cNvSpPr/>
      </xdr:nvSpPr>
      <xdr:spPr>
        <a:xfrm>
          <a:off x="1407459" y="2940423"/>
          <a:ext cx="2850776" cy="25639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Student v/s Total and Percentage</a:t>
          </a:r>
        </a:p>
      </xdr:txBody>
    </xdr:sp>
    <xdr:clientData/>
  </xdr:twoCellAnchor>
  <xdr:twoCellAnchor>
    <xdr:from>
      <xdr:col>7</xdr:col>
      <xdr:colOff>341195</xdr:colOff>
      <xdr:row>13</xdr:row>
      <xdr:rowOff>22746</xdr:rowOff>
    </xdr:from>
    <xdr:to>
      <xdr:col>8</xdr:col>
      <xdr:colOff>602776</xdr:colOff>
      <xdr:row>14</xdr:row>
      <xdr:rowOff>136478</xdr:rowOff>
    </xdr:to>
    <xdr:sp macro="" textlink="'Day13'!A9">
      <xdr:nvSpPr>
        <xdr:cNvPr id="17" name="TextBox 16">
          <a:extLst>
            <a:ext uri="{FF2B5EF4-FFF2-40B4-BE49-F238E27FC236}">
              <a16:creationId xmlns:a16="http://schemas.microsoft.com/office/drawing/2014/main" id="{550A8C67-A698-67E5-BBCE-A67457AD3F48}"/>
            </a:ext>
          </a:extLst>
        </xdr:cNvPr>
        <xdr:cNvSpPr txBox="1"/>
      </xdr:nvSpPr>
      <xdr:spPr>
        <a:xfrm>
          <a:off x="4640240" y="2388358"/>
          <a:ext cx="875730" cy="295702"/>
        </a:xfrm>
        <a:prstGeom prst="rect">
          <a:avLst/>
        </a:prstGeom>
        <a:solidFill>
          <a:schemeClr val="accent1"/>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E6F660-CE3A-4A5C-9B70-BE85CC5ECF81}" type="TxLink">
            <a:rPr lang="en-US" sz="1400" b="1" i="0" u="none" strike="noStrike">
              <a:solidFill>
                <a:srgbClr val="000000"/>
              </a:solidFill>
              <a:latin typeface="Calibri"/>
              <a:ea typeface="Calibri"/>
              <a:cs typeface="Calibri"/>
            </a:rPr>
            <a:pPr algn="ctr"/>
            <a:t>417</a:t>
          </a:fld>
          <a:endParaRPr lang="en-IN" sz="1400" b="1"/>
        </a:p>
      </xdr:txBody>
    </xdr:sp>
    <xdr:clientData/>
  </xdr:twoCellAnchor>
  <xdr:twoCellAnchor>
    <xdr:from>
      <xdr:col>9</xdr:col>
      <xdr:colOff>274828</xdr:colOff>
      <xdr:row>13</xdr:row>
      <xdr:rowOff>23548</xdr:rowOff>
    </xdr:from>
    <xdr:to>
      <xdr:col>10</xdr:col>
      <xdr:colOff>536408</xdr:colOff>
      <xdr:row>14</xdr:row>
      <xdr:rowOff>137280</xdr:rowOff>
    </xdr:to>
    <xdr:sp macro="" textlink="'Day13'!B9">
      <xdr:nvSpPr>
        <xdr:cNvPr id="18" name="TextBox 17">
          <a:extLst>
            <a:ext uri="{FF2B5EF4-FFF2-40B4-BE49-F238E27FC236}">
              <a16:creationId xmlns:a16="http://schemas.microsoft.com/office/drawing/2014/main" id="{0C1B0A65-30E8-4CDB-A6A2-D0F1190A2155}"/>
            </a:ext>
          </a:extLst>
        </xdr:cNvPr>
        <xdr:cNvSpPr txBox="1"/>
      </xdr:nvSpPr>
      <xdr:spPr>
        <a:xfrm>
          <a:off x="5802171" y="2389160"/>
          <a:ext cx="875730" cy="295702"/>
        </a:xfrm>
        <a:prstGeom prst="rect">
          <a:avLst/>
        </a:prstGeom>
        <a:solidFill>
          <a:schemeClr val="accent1"/>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99CD5E-CCE7-425E-A976-5B0953EB8CA9}" type="TxLink">
            <a:rPr lang="en-US" sz="1400" b="1" i="0" u="none" strike="noStrike">
              <a:solidFill>
                <a:srgbClr val="000000"/>
              </a:solidFill>
              <a:latin typeface="Calibri"/>
              <a:ea typeface="Calibri"/>
              <a:cs typeface="Calibri"/>
            </a:rPr>
            <a:t>357</a:t>
          </a:fld>
          <a:endParaRPr lang="en-IN" sz="1400" b="1"/>
        </a:p>
      </xdr:txBody>
    </xdr:sp>
    <xdr:clientData/>
  </xdr:twoCellAnchor>
  <xdr:twoCellAnchor>
    <xdr:from>
      <xdr:col>11</xdr:col>
      <xdr:colOff>252081</xdr:colOff>
      <xdr:row>13</xdr:row>
      <xdr:rowOff>57668</xdr:rowOff>
    </xdr:from>
    <xdr:to>
      <xdr:col>12</xdr:col>
      <xdr:colOff>513662</xdr:colOff>
      <xdr:row>14</xdr:row>
      <xdr:rowOff>171400</xdr:rowOff>
    </xdr:to>
    <xdr:sp macro="" textlink="'Day13'!E9">
      <xdr:nvSpPr>
        <xdr:cNvPr id="19" name="TextBox 18">
          <a:extLst>
            <a:ext uri="{FF2B5EF4-FFF2-40B4-BE49-F238E27FC236}">
              <a16:creationId xmlns:a16="http://schemas.microsoft.com/office/drawing/2014/main" id="{7EDFAFB5-11E4-EAD6-AAC3-F631606496AD}"/>
            </a:ext>
          </a:extLst>
        </xdr:cNvPr>
        <xdr:cNvSpPr txBox="1"/>
      </xdr:nvSpPr>
      <xdr:spPr>
        <a:xfrm>
          <a:off x="7007723" y="2423280"/>
          <a:ext cx="875730" cy="295702"/>
        </a:xfrm>
        <a:prstGeom prst="rect">
          <a:avLst/>
        </a:prstGeom>
        <a:solidFill>
          <a:schemeClr val="accent1"/>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DE8305-EBDF-4129-A233-7823047A6792}" type="TxLink">
            <a:rPr lang="en-US" sz="1400" b="1" i="0" u="none" strike="noStrike">
              <a:solidFill>
                <a:srgbClr val="000000"/>
              </a:solidFill>
              <a:latin typeface="Calibri"/>
              <a:ea typeface="Calibri"/>
              <a:cs typeface="Calibri"/>
            </a:rPr>
            <a:t>418</a:t>
          </a:fld>
          <a:endParaRPr lang="en-IN" sz="1400" b="1"/>
        </a:p>
      </xdr:txBody>
    </xdr:sp>
    <xdr:clientData/>
  </xdr:twoCellAnchor>
  <xdr:twoCellAnchor>
    <xdr:from>
      <xdr:col>13</xdr:col>
      <xdr:colOff>217962</xdr:colOff>
      <xdr:row>13</xdr:row>
      <xdr:rowOff>23548</xdr:rowOff>
    </xdr:from>
    <xdr:to>
      <xdr:col>14</xdr:col>
      <xdr:colOff>479542</xdr:colOff>
      <xdr:row>14</xdr:row>
      <xdr:rowOff>137280</xdr:rowOff>
    </xdr:to>
    <xdr:sp macro="" textlink="'Day13'!D9">
      <xdr:nvSpPr>
        <xdr:cNvPr id="20" name="TextBox 19">
          <a:extLst>
            <a:ext uri="{FF2B5EF4-FFF2-40B4-BE49-F238E27FC236}">
              <a16:creationId xmlns:a16="http://schemas.microsoft.com/office/drawing/2014/main" id="{2D8B7883-BB50-71E5-3427-C8C80407CEBE}"/>
            </a:ext>
          </a:extLst>
        </xdr:cNvPr>
        <xdr:cNvSpPr txBox="1"/>
      </xdr:nvSpPr>
      <xdr:spPr>
        <a:xfrm>
          <a:off x="8201902" y="2389160"/>
          <a:ext cx="875730" cy="295702"/>
        </a:xfrm>
        <a:prstGeom prst="rect">
          <a:avLst/>
        </a:prstGeom>
        <a:solidFill>
          <a:schemeClr val="accent1"/>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C21CE85-4107-4517-9A66-C76CB81CFC0F}" type="TxLink">
            <a:rPr lang="en-US" sz="1400" b="1" i="0" u="none" strike="noStrike">
              <a:solidFill>
                <a:srgbClr val="000000"/>
              </a:solidFill>
              <a:latin typeface="Calibri"/>
              <a:ea typeface="Calibri"/>
              <a:cs typeface="Calibri"/>
            </a:rPr>
            <a:t>452</a:t>
          </a:fld>
          <a:endParaRPr lang="en-IN" sz="1400" b="1"/>
        </a:p>
      </xdr:txBody>
    </xdr:sp>
    <xdr:clientData/>
  </xdr:twoCellAnchor>
  <xdr:twoCellAnchor>
    <xdr:from>
      <xdr:col>15</xdr:col>
      <xdr:colOff>172469</xdr:colOff>
      <xdr:row>13</xdr:row>
      <xdr:rowOff>34921</xdr:rowOff>
    </xdr:from>
    <xdr:to>
      <xdr:col>16</xdr:col>
      <xdr:colOff>434050</xdr:colOff>
      <xdr:row>14</xdr:row>
      <xdr:rowOff>148653</xdr:rowOff>
    </xdr:to>
    <xdr:sp macro="" textlink="'Day13'!C9">
      <xdr:nvSpPr>
        <xdr:cNvPr id="21" name="TextBox 20">
          <a:extLst>
            <a:ext uri="{FF2B5EF4-FFF2-40B4-BE49-F238E27FC236}">
              <a16:creationId xmlns:a16="http://schemas.microsoft.com/office/drawing/2014/main" id="{04CBF2AE-7C0D-7FC9-DC84-32E037BEE32C}"/>
            </a:ext>
          </a:extLst>
        </xdr:cNvPr>
        <xdr:cNvSpPr txBox="1"/>
      </xdr:nvSpPr>
      <xdr:spPr>
        <a:xfrm>
          <a:off x="9384708" y="2400533"/>
          <a:ext cx="875730" cy="295702"/>
        </a:xfrm>
        <a:prstGeom prst="rect">
          <a:avLst/>
        </a:prstGeom>
        <a:solidFill>
          <a:schemeClr val="accent1"/>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D68DB9-C9D4-42A6-B1BF-6B1969C8C568}" type="TxLink">
            <a:rPr lang="en-US" sz="1400" b="1" i="0" u="none" strike="noStrike">
              <a:solidFill>
                <a:srgbClr val="000000"/>
              </a:solidFill>
              <a:latin typeface="Calibri"/>
              <a:ea typeface="Calibri"/>
              <a:cs typeface="Calibri"/>
            </a:rPr>
            <a:t>343</a:t>
          </a:fld>
          <a:endParaRPr lang="en-IN" sz="1400" b="1"/>
        </a:p>
      </xdr:txBody>
    </xdr:sp>
    <xdr:clientData/>
  </xdr:twoCellAnchor>
  <xdr:twoCellAnchor>
    <xdr:from>
      <xdr:col>2</xdr:col>
      <xdr:colOff>380999</xdr:colOff>
      <xdr:row>19</xdr:row>
      <xdr:rowOff>83346</xdr:rowOff>
    </xdr:from>
    <xdr:to>
      <xdr:col>6</xdr:col>
      <xdr:colOff>381000</xdr:colOff>
      <xdr:row>29</xdr:row>
      <xdr:rowOff>95252</xdr:rowOff>
    </xdr:to>
    <xdr:graphicFrame macro="">
      <xdr:nvGraphicFramePr>
        <xdr:cNvPr id="22" name="Chart 21">
          <a:extLst>
            <a:ext uri="{FF2B5EF4-FFF2-40B4-BE49-F238E27FC236}">
              <a16:creationId xmlns:a16="http://schemas.microsoft.com/office/drawing/2014/main" id="{A170E69F-3097-4550-8BE1-15B62CB4A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392907</xdr:colOff>
      <xdr:row>19</xdr:row>
      <xdr:rowOff>71437</xdr:rowOff>
    </xdr:from>
    <xdr:to>
      <xdr:col>11</xdr:col>
      <xdr:colOff>309563</xdr:colOff>
      <xdr:row>29</xdr:row>
      <xdr:rowOff>95250</xdr:rowOff>
    </xdr:to>
    <xdr:graphicFrame macro="">
      <xdr:nvGraphicFramePr>
        <xdr:cNvPr id="23" name="Chart 22">
          <a:extLst>
            <a:ext uri="{FF2B5EF4-FFF2-40B4-BE49-F238E27FC236}">
              <a16:creationId xmlns:a16="http://schemas.microsoft.com/office/drawing/2014/main" id="{16D80859-40A5-42FF-8361-6F760C8F2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309563</xdr:colOff>
      <xdr:row>19</xdr:row>
      <xdr:rowOff>154781</xdr:rowOff>
    </xdr:from>
    <xdr:to>
      <xdr:col>16</xdr:col>
      <xdr:colOff>309563</xdr:colOff>
      <xdr:row>29</xdr:row>
      <xdr:rowOff>160833</xdr:rowOff>
    </xdr:to>
    <xdr:graphicFrame macro="">
      <xdr:nvGraphicFramePr>
        <xdr:cNvPr id="24" name="Chart 23">
          <a:extLst>
            <a:ext uri="{FF2B5EF4-FFF2-40B4-BE49-F238E27FC236}">
              <a16:creationId xmlns:a16="http://schemas.microsoft.com/office/drawing/2014/main" id="{F3523D8D-46D5-4C43-8A84-A2FC932CD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61633</xdr:colOff>
      <xdr:row>9</xdr:row>
      <xdr:rowOff>118641</xdr:rowOff>
    </xdr:from>
    <xdr:to>
      <xdr:col>22</xdr:col>
      <xdr:colOff>381000</xdr:colOff>
      <xdr:row>30</xdr:row>
      <xdr:rowOff>83344</xdr:rowOff>
    </xdr:to>
    <xdr:sp macro="" textlink="">
      <xdr:nvSpPr>
        <xdr:cNvPr id="25" name="Rectangle: Rounded Corners 24">
          <a:extLst>
            <a:ext uri="{FF2B5EF4-FFF2-40B4-BE49-F238E27FC236}">
              <a16:creationId xmlns:a16="http://schemas.microsoft.com/office/drawing/2014/main" id="{EC2A18C2-C9F9-4106-B7DE-D3E981E29AA9}"/>
            </a:ext>
          </a:extLst>
        </xdr:cNvPr>
        <xdr:cNvSpPr/>
      </xdr:nvSpPr>
      <xdr:spPr>
        <a:xfrm>
          <a:off x="10384352" y="1725985"/>
          <a:ext cx="3355461" cy="37389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lt1"/>
              </a:solidFill>
              <a:effectLst/>
              <a:latin typeface="+mn-lt"/>
              <a:ea typeface="+mn-ea"/>
              <a:cs typeface="+mn-cs"/>
            </a:rPr>
            <a:t>Slicers</a:t>
          </a:r>
        </a:p>
        <a:p>
          <a:pPr algn="l"/>
          <a:endParaRPr lang="en-IN" sz="1400"/>
        </a:p>
      </xdr:txBody>
    </xdr:sp>
    <xdr:clientData/>
  </xdr:twoCellAnchor>
  <xdr:twoCellAnchor editAs="oneCell">
    <xdr:from>
      <xdr:col>17</xdr:col>
      <xdr:colOff>275946</xdr:colOff>
      <xdr:row>12</xdr:row>
      <xdr:rowOff>94830</xdr:rowOff>
    </xdr:from>
    <xdr:to>
      <xdr:col>19</xdr:col>
      <xdr:colOff>500063</xdr:colOff>
      <xdr:row>21</xdr:row>
      <xdr:rowOff>95250</xdr:rowOff>
    </xdr:to>
    <mc:AlternateContent xmlns:mc="http://schemas.openxmlformats.org/markup-compatibility/2006">
      <mc:Choice xmlns:a14="http://schemas.microsoft.com/office/drawing/2010/main" Requires="a14">
        <xdr:graphicFrame macro="">
          <xdr:nvGraphicFramePr>
            <xdr:cNvPr id="26" name="Student ID 1">
              <a:extLst>
                <a:ext uri="{FF2B5EF4-FFF2-40B4-BE49-F238E27FC236}">
                  <a16:creationId xmlns:a16="http://schemas.microsoft.com/office/drawing/2014/main" id="{CD4C55CE-A635-4198-98E0-1012C7048827}"/>
                </a:ext>
              </a:extLst>
            </xdr:cNvPr>
            <xdr:cNvGraphicFramePr/>
          </xdr:nvGraphicFramePr>
          <xdr:xfrm>
            <a:off x="0" y="0"/>
            <a:ext cx="0" cy="0"/>
          </xdr:xfrm>
          <a:graphic>
            <a:graphicData uri="http://schemas.microsoft.com/office/drawing/2010/slicer">
              <sle:slicer xmlns:sle="http://schemas.microsoft.com/office/drawing/2010/slicer" name="Student ID 1"/>
            </a:graphicData>
          </a:graphic>
        </xdr:graphicFrame>
      </mc:Choice>
      <mc:Fallback>
        <xdr:sp macro="" textlink="">
          <xdr:nvSpPr>
            <xdr:cNvPr id="0" name=""/>
            <xdr:cNvSpPr>
              <a:spLocks noTextEdit="1"/>
            </xdr:cNvSpPr>
          </xdr:nvSpPr>
          <xdr:spPr>
            <a:xfrm>
              <a:off x="10598665" y="2237955"/>
              <a:ext cx="1438554" cy="1607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287852</xdr:colOff>
      <xdr:row>23</xdr:row>
      <xdr:rowOff>47205</xdr:rowOff>
    </xdr:from>
    <xdr:to>
      <xdr:col>21</xdr:col>
      <xdr:colOff>294996</xdr:colOff>
      <xdr:row>28</xdr:row>
      <xdr:rowOff>83343</xdr:rowOff>
    </xdr:to>
    <mc:AlternateContent xmlns:mc="http://schemas.openxmlformats.org/markup-compatibility/2006">
      <mc:Choice xmlns:a14="http://schemas.microsoft.com/office/drawing/2010/main" Requires="a14">
        <xdr:graphicFrame macro="">
          <xdr:nvGraphicFramePr>
            <xdr:cNvPr id="27" name="Is_Fail 1">
              <a:extLst>
                <a:ext uri="{FF2B5EF4-FFF2-40B4-BE49-F238E27FC236}">
                  <a16:creationId xmlns:a16="http://schemas.microsoft.com/office/drawing/2014/main" id="{1C57F6C9-BC7C-4555-B3A5-90DB2E890380}"/>
                </a:ext>
              </a:extLst>
            </xdr:cNvPr>
            <xdr:cNvGraphicFramePr/>
          </xdr:nvGraphicFramePr>
          <xdr:xfrm>
            <a:off x="0" y="0"/>
            <a:ext cx="0" cy="0"/>
          </xdr:xfrm>
          <a:graphic>
            <a:graphicData uri="http://schemas.microsoft.com/office/drawing/2010/slicer">
              <sle:slicer xmlns:sle="http://schemas.microsoft.com/office/drawing/2010/slicer" name="Is_Fail 1"/>
            </a:graphicData>
          </a:graphic>
        </xdr:graphicFrame>
      </mc:Choice>
      <mc:Fallback>
        <xdr:sp macro="" textlink="">
          <xdr:nvSpPr>
            <xdr:cNvPr id="0" name=""/>
            <xdr:cNvSpPr>
              <a:spLocks noTextEdit="1"/>
            </xdr:cNvSpPr>
          </xdr:nvSpPr>
          <xdr:spPr>
            <a:xfrm>
              <a:off x="11217790" y="4154861"/>
              <a:ext cx="1828800" cy="952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585509</xdr:colOff>
      <xdr:row>12</xdr:row>
      <xdr:rowOff>130547</xdr:rowOff>
    </xdr:from>
    <xdr:to>
      <xdr:col>22</xdr:col>
      <xdr:colOff>190500</xdr:colOff>
      <xdr:row>21</xdr:row>
      <xdr:rowOff>107155</xdr:rowOff>
    </xdr:to>
    <mc:AlternateContent xmlns:mc="http://schemas.openxmlformats.org/markup-compatibility/2006">
      <mc:Choice xmlns:a14="http://schemas.microsoft.com/office/drawing/2010/main" Requires="a14">
        <xdr:graphicFrame macro="">
          <xdr:nvGraphicFramePr>
            <xdr:cNvPr id="28" name="Last Name 1">
              <a:extLst>
                <a:ext uri="{FF2B5EF4-FFF2-40B4-BE49-F238E27FC236}">
                  <a16:creationId xmlns:a16="http://schemas.microsoft.com/office/drawing/2014/main" id="{4B19D02E-88D7-4085-8F36-C9681C68E5C8}"/>
                </a:ext>
              </a:extLst>
            </xdr:cNvPr>
            <xdr:cNvGraphicFramePr/>
          </xdr:nvGraphicFramePr>
          <xdr:xfrm>
            <a:off x="0" y="0"/>
            <a:ext cx="0" cy="0"/>
          </xdr:xfrm>
          <a:graphic>
            <a:graphicData uri="http://schemas.microsoft.com/office/drawing/2010/slicer">
              <sle:slicer xmlns:sle="http://schemas.microsoft.com/office/drawing/2010/slicer" name="Last Name 1"/>
            </a:graphicData>
          </a:graphic>
        </xdr:graphicFrame>
      </mc:Choice>
      <mc:Fallback>
        <xdr:sp macro="" textlink="">
          <xdr:nvSpPr>
            <xdr:cNvPr id="0" name=""/>
            <xdr:cNvSpPr>
              <a:spLocks noTextEdit="1"/>
            </xdr:cNvSpPr>
          </xdr:nvSpPr>
          <xdr:spPr>
            <a:xfrm>
              <a:off x="12122665" y="2273672"/>
              <a:ext cx="1426648" cy="1583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12493</xdr:colOff>
      <xdr:row>7</xdr:row>
      <xdr:rowOff>37474</xdr:rowOff>
    </xdr:from>
    <xdr:to>
      <xdr:col>1</xdr:col>
      <xdr:colOff>4134787</xdr:colOff>
      <xdr:row>12</xdr:row>
      <xdr:rowOff>24982</xdr:rowOff>
    </xdr:to>
    <xdr:pic>
      <xdr:nvPicPr>
        <xdr:cNvPr id="3" name="Picture 2">
          <a:extLst>
            <a:ext uri="{FF2B5EF4-FFF2-40B4-BE49-F238E27FC236}">
              <a16:creationId xmlns:a16="http://schemas.microsoft.com/office/drawing/2014/main" id="{8A54C1C9-B2FC-CE56-2175-D29999A2DF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4591" y="1561474"/>
          <a:ext cx="4122294" cy="924393"/>
        </a:xfrm>
        <a:prstGeom prst="rect">
          <a:avLst/>
        </a:prstGeom>
      </xdr:spPr>
    </xdr:pic>
    <xdr:clientData/>
  </xdr:twoCellAnchor>
  <xdr:twoCellAnchor editAs="oneCell">
    <xdr:from>
      <xdr:col>0</xdr:col>
      <xdr:colOff>563619</xdr:colOff>
      <xdr:row>18</xdr:row>
      <xdr:rowOff>47984</xdr:rowOff>
    </xdr:from>
    <xdr:to>
      <xdr:col>1</xdr:col>
      <xdr:colOff>3554381</xdr:colOff>
      <xdr:row>35</xdr:row>
      <xdr:rowOff>3305</xdr:rowOff>
    </xdr:to>
    <xdr:pic>
      <xdr:nvPicPr>
        <xdr:cNvPr id="5" name="Picture 4">
          <a:extLst>
            <a:ext uri="{FF2B5EF4-FFF2-40B4-BE49-F238E27FC236}">
              <a16:creationId xmlns:a16="http://schemas.microsoft.com/office/drawing/2014/main" id="{3CAAAB52-3B95-1C77-0221-1A383763E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3619" y="3773317"/>
          <a:ext cx="3597540" cy="3278992"/>
        </a:xfrm>
        <a:prstGeom prst="rect">
          <a:avLst/>
        </a:prstGeom>
      </xdr:spPr>
    </xdr:pic>
    <xdr:clientData/>
  </xdr:twoCellAnchor>
  <xdr:twoCellAnchor editAs="oneCell">
    <xdr:from>
      <xdr:col>0</xdr:col>
      <xdr:colOff>564642</xdr:colOff>
      <xdr:row>39</xdr:row>
      <xdr:rowOff>40910</xdr:rowOff>
    </xdr:from>
    <xdr:to>
      <xdr:col>1</xdr:col>
      <xdr:colOff>4118824</xdr:colOff>
      <xdr:row>43</xdr:row>
      <xdr:rowOff>24534</xdr:rowOff>
    </xdr:to>
    <xdr:pic>
      <xdr:nvPicPr>
        <xdr:cNvPr id="7" name="Picture 6">
          <a:extLst>
            <a:ext uri="{FF2B5EF4-FFF2-40B4-BE49-F238E27FC236}">
              <a16:creationId xmlns:a16="http://schemas.microsoft.com/office/drawing/2014/main" id="{B24602DC-A55D-52A2-1FBC-2C5232F5E2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64642" y="8041910"/>
          <a:ext cx="4160960" cy="717402"/>
        </a:xfrm>
        <a:prstGeom prst="rect">
          <a:avLst/>
        </a:prstGeom>
      </xdr:spPr>
    </xdr:pic>
    <xdr:clientData/>
  </xdr:twoCellAnchor>
  <xdr:twoCellAnchor editAs="oneCell">
    <xdr:from>
      <xdr:col>6</xdr:col>
      <xdr:colOff>12788</xdr:colOff>
      <xdr:row>7</xdr:row>
      <xdr:rowOff>295</xdr:rowOff>
    </xdr:from>
    <xdr:to>
      <xdr:col>7</xdr:col>
      <xdr:colOff>494323</xdr:colOff>
      <xdr:row>14</xdr:row>
      <xdr:rowOff>2274</xdr:rowOff>
    </xdr:to>
    <xdr:pic>
      <xdr:nvPicPr>
        <xdr:cNvPr id="9" name="Picture 8">
          <a:extLst>
            <a:ext uri="{FF2B5EF4-FFF2-40B4-BE49-F238E27FC236}">
              <a16:creationId xmlns:a16="http://schemas.microsoft.com/office/drawing/2014/main" id="{95252322-D1CB-DF10-D254-97D9DA27F45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220558" y="1524295"/>
          <a:ext cx="4054191" cy="1310754"/>
        </a:xfrm>
        <a:prstGeom prst="rect">
          <a:avLst/>
        </a:prstGeom>
      </xdr:spPr>
    </xdr:pic>
    <xdr:clientData/>
  </xdr:twoCellAnchor>
  <xdr:twoCellAnchor editAs="oneCell">
    <xdr:from>
      <xdr:col>5</xdr:col>
      <xdr:colOff>587508</xdr:colOff>
      <xdr:row>19</xdr:row>
      <xdr:rowOff>50362</xdr:rowOff>
    </xdr:from>
    <xdr:to>
      <xdr:col>12</xdr:col>
      <xdr:colOff>158937</xdr:colOff>
      <xdr:row>28</xdr:row>
      <xdr:rowOff>115665</xdr:rowOff>
    </xdr:to>
    <xdr:pic>
      <xdr:nvPicPr>
        <xdr:cNvPr id="11" name="Picture 10">
          <a:extLst>
            <a:ext uri="{FF2B5EF4-FFF2-40B4-BE49-F238E27FC236}">
              <a16:creationId xmlns:a16="http://schemas.microsoft.com/office/drawing/2014/main" id="{B52A1287-CF06-2779-5DF5-EAC00E85A29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183180" y="4035247"/>
          <a:ext cx="6816675" cy="1748458"/>
        </a:xfrm>
        <a:prstGeom prst="rect">
          <a:avLst/>
        </a:prstGeom>
      </xdr:spPr>
    </xdr:pic>
    <xdr:clientData/>
  </xdr:twoCellAnchor>
  <xdr:twoCellAnchor editAs="oneCell">
    <xdr:from>
      <xdr:col>6</xdr:col>
      <xdr:colOff>25475</xdr:colOff>
      <xdr:row>33</xdr:row>
      <xdr:rowOff>87935</xdr:rowOff>
    </xdr:from>
    <xdr:to>
      <xdr:col>10</xdr:col>
      <xdr:colOff>484432</xdr:colOff>
      <xdr:row>43</xdr:row>
      <xdr:rowOff>2799</xdr:rowOff>
    </xdr:to>
    <xdr:pic>
      <xdr:nvPicPr>
        <xdr:cNvPr id="13" name="Picture 12">
          <a:extLst>
            <a:ext uri="{FF2B5EF4-FFF2-40B4-BE49-F238E27FC236}">
              <a16:creationId xmlns:a16="http://schemas.microsoft.com/office/drawing/2014/main" id="{D51D37EB-9379-6C70-F0C9-04E5C0B25A1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33245" y="6908460"/>
          <a:ext cx="5867908" cy="200423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6.806194097226" createdVersion="8" refreshedVersion="8" minRefreshableVersion="3" recordCount="5" xr:uid="{17EFA018-210D-493E-BB0C-0D0FAF3689CC}">
  <cacheSource type="worksheet">
    <worksheetSource name="Table134"/>
  </cacheSource>
  <cacheFields count="13">
    <cacheField name="Student ID" numFmtId="0">
      <sharedItems containsSemiMixedTypes="0" containsString="0" containsNumber="1" containsInteger="1" minValue="1" maxValue="5" count="5">
        <n v="1"/>
        <n v="2"/>
        <n v="3"/>
        <n v="4"/>
        <n v="5"/>
      </sharedItems>
    </cacheField>
    <cacheField name="First Name" numFmtId="0">
      <sharedItems count="5">
        <s v="Sanskriti"/>
        <s v="Anu"/>
        <s v="Shubh"/>
        <s v="Alok"/>
        <s v="Riya"/>
      </sharedItems>
    </cacheField>
    <cacheField name="Last Name" numFmtId="0">
      <sharedItems count="3">
        <s v="Saxena"/>
        <s v="Singh"/>
        <s v="pal"/>
      </sharedItems>
    </cacheField>
    <cacheField name="Mathematics" numFmtId="0">
      <sharedItems containsSemiMixedTypes="0" containsString="0" containsNumber="1" containsInteger="1" minValue="74" maxValue="92"/>
    </cacheField>
    <cacheField name="Science" numFmtId="0">
      <sharedItems containsString="0" containsBlank="1" containsNumber="1" containsInteger="1" minValue="84" maxValue="93"/>
    </cacheField>
    <cacheField name="English" numFmtId="0">
      <sharedItems containsSemiMixedTypes="0" containsString="0" containsNumber="1" containsInteger="1" minValue="1" maxValue="90"/>
    </cacheField>
    <cacheField name="Computer" numFmtId="0">
      <sharedItems containsSemiMixedTypes="0" containsString="0" containsNumber="1" containsInteger="1" minValue="86" maxValue="95"/>
    </cacheField>
    <cacheField name="Social Science" numFmtId="0">
      <sharedItems containsSemiMixedTypes="0" containsString="0" containsNumber="1" containsInteger="1" minValue="76" maxValue="90"/>
    </cacheField>
    <cacheField name="Total" numFmtId="0">
      <sharedItems containsSemiMixedTypes="0" containsString="0" containsNumber="1" containsInteger="1" minValue="322" maxValue="450"/>
    </cacheField>
    <cacheField name="Average" numFmtId="0">
      <sharedItems containsSemiMixedTypes="0" containsString="0" containsNumber="1" minValue="64.400000000000006" maxValue="90"/>
    </cacheField>
    <cacheField name="Percentage" numFmtId="0">
      <sharedItems containsSemiMixedTypes="0" containsString="0" containsNumber="1" minValue="64.400000000000006" maxValue="90"/>
    </cacheField>
    <cacheField name="Is_Fail" numFmtId="0">
      <sharedItems count="2">
        <s v="Pass"/>
        <s v="Fail"/>
      </sharedItems>
    </cacheField>
    <cacheField name="Marks Given in No of Sub" numFmtId="0">
      <sharedItems containsSemiMixedTypes="0" containsString="0" containsNumber="1" containsInteger="1" minValue="4" maxValue="5"/>
    </cacheField>
  </cacheFields>
  <extLst>
    <ext xmlns:x14="http://schemas.microsoft.com/office/spreadsheetml/2009/9/main" uri="{725AE2AE-9491-48be-B2B4-4EB974FC3084}">
      <x14:pivotCacheDefinition pivotCacheId="328102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n v="85"/>
    <n v="91"/>
    <n v="88"/>
    <n v="95"/>
    <n v="82"/>
    <n v="441"/>
    <n v="88.2"/>
    <n v="88.2"/>
    <x v="0"/>
    <n v="5"/>
  </r>
  <r>
    <x v="1"/>
    <x v="1"/>
    <x v="0"/>
    <n v="78"/>
    <n v="84"/>
    <n v="90"/>
    <n v="88"/>
    <n v="76"/>
    <n v="416"/>
    <n v="83.2"/>
    <n v="83.2"/>
    <x v="0"/>
    <n v="5"/>
  </r>
  <r>
    <x v="2"/>
    <x v="2"/>
    <x v="0"/>
    <n v="92"/>
    <n v="89"/>
    <n v="85"/>
    <n v="94"/>
    <n v="90"/>
    <n v="450"/>
    <n v="90"/>
    <n v="90"/>
    <x v="0"/>
    <n v="5"/>
  </r>
  <r>
    <x v="3"/>
    <x v="3"/>
    <x v="1"/>
    <n v="74"/>
    <m/>
    <n v="79"/>
    <n v="86"/>
    <n v="83"/>
    <n v="322"/>
    <n v="64.400000000000006"/>
    <n v="64.400000000000006"/>
    <x v="0"/>
    <n v="4"/>
  </r>
  <r>
    <x v="4"/>
    <x v="4"/>
    <x v="2"/>
    <n v="88"/>
    <n v="93"/>
    <n v="1"/>
    <n v="89"/>
    <n v="87"/>
    <n v="358"/>
    <n v="71.599999999999994"/>
    <n v="71.599999999999994"/>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CD430E-CDEA-4E94-9AF1-CED47AB75ADB}"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IS_Fail">
  <location ref="I6:N9" firstHeaderRow="0" firstDataRow="1" firstDataCol="1"/>
  <pivotFields count="13">
    <pivotField showAll="0">
      <items count="6">
        <item x="0"/>
        <item x="1"/>
        <item x="2"/>
        <item x="3"/>
        <item x="4"/>
        <item t="default"/>
      </items>
    </pivotField>
    <pivotField showAll="0"/>
    <pivotField showAll="0">
      <items count="4">
        <item x="2"/>
        <item x="0"/>
        <item x="1"/>
        <item t="default"/>
      </items>
    </pivotField>
    <pivotField dataField="1" showAll="0"/>
    <pivotField dataField="1" showAll="0"/>
    <pivotField dataField="1" showAll="0"/>
    <pivotField dataField="1" showAll="0"/>
    <pivotField dataField="1" showAll="0"/>
    <pivotField showAll="0"/>
    <pivotField showAll="0"/>
    <pivotField showAll="0"/>
    <pivotField axis="axisRow" showAll="0">
      <items count="3">
        <item x="1"/>
        <item x="0"/>
        <item t="default"/>
      </items>
    </pivotField>
    <pivotField showAll="0"/>
  </pivotFields>
  <rowFields count="1">
    <field x="11"/>
  </rowFields>
  <rowItems count="3">
    <i>
      <x/>
    </i>
    <i>
      <x v="1"/>
    </i>
    <i t="grand">
      <x/>
    </i>
  </rowItems>
  <colFields count="1">
    <field x="-2"/>
  </colFields>
  <colItems count="5">
    <i>
      <x/>
    </i>
    <i i="1">
      <x v="1"/>
    </i>
    <i i="2">
      <x v="2"/>
    </i>
    <i i="3">
      <x v="3"/>
    </i>
    <i i="4">
      <x v="4"/>
    </i>
  </colItems>
  <dataFields count="5">
    <dataField name="Sum of Mathematics" fld="3" baseField="0" baseItem="0"/>
    <dataField name="Sum of Science" fld="4" baseField="0" baseItem="0"/>
    <dataField name="Sum of English" fld="5" baseField="0" baseItem="0"/>
    <dataField name="Sum of Computer" fld="6" baseField="0" baseItem="0"/>
    <dataField name="Sum of Social Science" fld="7" baseField="0" baseItem="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1" count="1" selected="0">
            <x v="0"/>
          </reference>
        </references>
      </pivotArea>
    </chartFormat>
    <chartFormat chart="3" format="22">
      <pivotArea type="data" outline="0" fieldPosition="0">
        <references count="2">
          <reference field="4294967294" count="1" selected="0">
            <x v="0"/>
          </reference>
          <reference field="11" count="1" selected="0">
            <x v="1"/>
          </reference>
        </references>
      </pivotArea>
    </chartFormat>
    <chartFormat chart="3" format="23" series="1">
      <pivotArea type="data" outline="0" fieldPosition="0">
        <references count="1">
          <reference field="4294967294" count="1" selected="0">
            <x v="1"/>
          </reference>
        </references>
      </pivotArea>
    </chartFormat>
    <chartFormat chart="3" format="24">
      <pivotArea type="data" outline="0" fieldPosition="0">
        <references count="2">
          <reference field="4294967294" count="1" selected="0">
            <x v="1"/>
          </reference>
          <reference field="11" count="1" selected="0">
            <x v="0"/>
          </reference>
        </references>
      </pivotArea>
    </chartFormat>
    <chartFormat chart="3" format="25">
      <pivotArea type="data" outline="0" fieldPosition="0">
        <references count="2">
          <reference field="4294967294" count="1" selected="0">
            <x v="1"/>
          </reference>
          <reference field="11" count="1" selected="0">
            <x v="1"/>
          </reference>
        </references>
      </pivotArea>
    </chartFormat>
    <chartFormat chart="3" format="26" series="1">
      <pivotArea type="data" outline="0" fieldPosition="0">
        <references count="1">
          <reference field="4294967294" count="1" selected="0">
            <x v="2"/>
          </reference>
        </references>
      </pivotArea>
    </chartFormat>
    <chartFormat chart="3" format="27">
      <pivotArea type="data" outline="0" fieldPosition="0">
        <references count="2">
          <reference field="4294967294" count="1" selected="0">
            <x v="2"/>
          </reference>
          <reference field="11" count="1" selected="0">
            <x v="0"/>
          </reference>
        </references>
      </pivotArea>
    </chartFormat>
    <chartFormat chart="3" format="28">
      <pivotArea type="data" outline="0" fieldPosition="0">
        <references count="2">
          <reference field="4294967294" count="1" selected="0">
            <x v="2"/>
          </reference>
          <reference field="11" count="1" selected="0">
            <x v="1"/>
          </reference>
        </references>
      </pivotArea>
    </chartFormat>
    <chartFormat chart="3" format="29" series="1">
      <pivotArea type="data" outline="0" fieldPosition="0">
        <references count="1">
          <reference field="4294967294" count="1" selected="0">
            <x v="3"/>
          </reference>
        </references>
      </pivotArea>
    </chartFormat>
    <chartFormat chart="3" format="30">
      <pivotArea type="data" outline="0" fieldPosition="0">
        <references count="2">
          <reference field="4294967294" count="1" selected="0">
            <x v="3"/>
          </reference>
          <reference field="11" count="1" selected="0">
            <x v="0"/>
          </reference>
        </references>
      </pivotArea>
    </chartFormat>
    <chartFormat chart="3" format="31">
      <pivotArea type="data" outline="0" fieldPosition="0">
        <references count="2">
          <reference field="4294967294" count="1" selected="0">
            <x v="3"/>
          </reference>
          <reference field="11" count="1" selected="0">
            <x v="1"/>
          </reference>
        </references>
      </pivotArea>
    </chartFormat>
    <chartFormat chart="3" format="32" series="1">
      <pivotArea type="data" outline="0" fieldPosition="0">
        <references count="1">
          <reference field="4294967294" count="1" selected="0">
            <x v="4"/>
          </reference>
        </references>
      </pivotArea>
    </chartFormat>
    <chartFormat chart="3" format="33">
      <pivotArea type="data" outline="0" fieldPosition="0">
        <references count="2">
          <reference field="4294967294" count="1" selected="0">
            <x v="4"/>
          </reference>
          <reference field="11" count="1" selected="0">
            <x v="0"/>
          </reference>
        </references>
      </pivotArea>
    </chartFormat>
    <chartFormat chart="3" format="34">
      <pivotArea type="data" outline="0" fieldPosition="0">
        <references count="2">
          <reference field="4294967294" count="1" selected="0">
            <x v="4"/>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A11767-B630-4DDB-BAD9-EC853A549BE1}"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Name">
  <location ref="A22:F28" firstHeaderRow="0" firstDataRow="1" firstDataCol="1"/>
  <pivotFields count="13">
    <pivotField showAll="0">
      <items count="6">
        <item x="0"/>
        <item x="1"/>
        <item x="2"/>
        <item x="3"/>
        <item x="4"/>
        <item t="default"/>
      </items>
    </pivotField>
    <pivotField axis="axisRow" showAll="0">
      <items count="6">
        <item x="3"/>
        <item x="1"/>
        <item x="4"/>
        <item x="0"/>
        <item x="2"/>
        <item t="default"/>
      </items>
    </pivotField>
    <pivotField showAll="0">
      <items count="4">
        <item x="2"/>
        <item x="0"/>
        <item x="1"/>
        <item t="default"/>
      </items>
    </pivotField>
    <pivotField dataField="1" showAll="0"/>
    <pivotField dataField="1" showAll="0"/>
    <pivotField dataField="1" showAll="0"/>
    <pivotField dataField="1" showAll="0"/>
    <pivotField dataField="1" showAll="0"/>
    <pivotField showAll="0"/>
    <pivotField showAll="0"/>
    <pivotField showAll="0"/>
    <pivotField showAll="0">
      <items count="3">
        <item x="1"/>
        <item x="0"/>
        <item t="default"/>
      </items>
    </pivotField>
    <pivotField showAll="0"/>
  </pivotFields>
  <rowFields count="1">
    <field x="1"/>
  </rowFields>
  <rowItems count="6">
    <i>
      <x/>
    </i>
    <i>
      <x v="1"/>
    </i>
    <i>
      <x v="2"/>
    </i>
    <i>
      <x v="3"/>
    </i>
    <i>
      <x v="4"/>
    </i>
    <i t="grand">
      <x/>
    </i>
  </rowItems>
  <colFields count="1">
    <field x="-2"/>
  </colFields>
  <colItems count="5">
    <i>
      <x/>
    </i>
    <i i="1">
      <x v="1"/>
    </i>
    <i i="2">
      <x v="2"/>
    </i>
    <i i="3">
      <x v="3"/>
    </i>
    <i i="4">
      <x v="4"/>
    </i>
  </colItems>
  <dataFields count="5">
    <dataField name="Sum of Mathematics" fld="3" baseField="0" baseItem="0"/>
    <dataField name="Sum of Science" fld="4" baseField="0" baseItem="0"/>
    <dataField name="Sum of English" fld="5" baseField="0" baseItem="0"/>
    <dataField name="Sum of Computer" fld="6" baseField="0" baseItem="0"/>
    <dataField name="Sum of Social Science" fld="7"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2"/>
          </reference>
        </references>
      </pivotArea>
    </chartFormat>
    <chartFormat chart="9" format="13" series="1">
      <pivotArea type="data" outline="0" fieldPosition="0">
        <references count="1">
          <reference field="4294967294" count="1" selected="0">
            <x v="3"/>
          </reference>
        </references>
      </pivotArea>
    </chartFormat>
    <chartFormat chart="9"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A4F066-B316-4C10-A8CE-4B9E15D1551A}"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Name">
  <location ref="A12:C18" firstHeaderRow="0" firstDataRow="1" firstDataCol="1"/>
  <pivotFields count="13">
    <pivotField showAll="0">
      <items count="6">
        <item x="0"/>
        <item x="1"/>
        <item x="2"/>
        <item x="3"/>
        <item x="4"/>
        <item t="default"/>
      </items>
    </pivotField>
    <pivotField axis="axisRow" showAll="0">
      <items count="6">
        <item x="3"/>
        <item x="1"/>
        <item x="4"/>
        <item x="0"/>
        <item x="2"/>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dataField="1" showAll="0"/>
    <pivotField showAll="0">
      <items count="3">
        <item x="1"/>
        <item x="0"/>
        <item t="default"/>
      </items>
    </pivotField>
    <pivotField showAll="0"/>
  </pivotFields>
  <rowFields count="1">
    <field x="1"/>
  </rowFields>
  <rowItems count="6">
    <i>
      <x/>
    </i>
    <i>
      <x v="1"/>
    </i>
    <i>
      <x v="2"/>
    </i>
    <i>
      <x v="3"/>
    </i>
    <i>
      <x v="4"/>
    </i>
    <i t="grand">
      <x/>
    </i>
  </rowItems>
  <colFields count="1">
    <field x="-2"/>
  </colFields>
  <colItems count="2">
    <i>
      <x/>
    </i>
    <i i="1">
      <x v="1"/>
    </i>
  </colItems>
  <dataFields count="2">
    <dataField name="Sum of Total" fld="8" baseField="0" baseItem="0"/>
    <dataField name="Sum of Percentage"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C3440E-AF61-4905-B0B2-9F4D0AF6DC77}"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E7" firstHeaderRow="0" firstDataRow="1" firstDataCol="0"/>
  <pivotFields count="13">
    <pivotField showAll="0">
      <items count="6">
        <item x="0"/>
        <item x="1"/>
        <item x="2"/>
        <item x="3"/>
        <item x="4"/>
        <item t="default"/>
      </items>
    </pivotField>
    <pivotField showAll="0"/>
    <pivotField showAll="0">
      <items count="4">
        <item x="2"/>
        <item x="0"/>
        <item x="1"/>
        <item t="default"/>
      </items>
    </pivotField>
    <pivotField dataField="1" showAll="0"/>
    <pivotField dataField="1" showAll="0"/>
    <pivotField dataField="1" showAll="0"/>
    <pivotField dataField="1" showAll="0"/>
    <pivotField dataField="1" showAll="0"/>
    <pivotField showAll="0"/>
    <pivotField showAll="0"/>
    <pivotField showAll="0"/>
    <pivotField showAll="0">
      <items count="3">
        <item x="1"/>
        <item x="0"/>
        <item t="default"/>
      </items>
    </pivotField>
    <pivotField showAll="0"/>
  </pivotFields>
  <rowItems count="1">
    <i/>
  </rowItems>
  <colFields count="1">
    <field x="-2"/>
  </colFields>
  <colItems count="5">
    <i>
      <x/>
    </i>
    <i i="1">
      <x v="1"/>
    </i>
    <i i="2">
      <x v="2"/>
    </i>
    <i i="3">
      <x v="3"/>
    </i>
    <i i="4">
      <x v="4"/>
    </i>
  </colItems>
  <dataFields count="5">
    <dataField name="Sum of Mathematics" fld="3" baseField="0" baseItem="0"/>
    <dataField name="Sum of Science" fld="4" baseField="0" baseItem="0"/>
    <dataField name="Sum of English" fld="5" baseField="0" baseItem="0"/>
    <dataField name="Sum of Computer" fld="6" baseField="0" baseItem="0"/>
    <dataField name="Sum of Social Scien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F649E4C9-A323-4ACA-838F-7523905EB039}" sourceName="Student ID">
  <pivotTables>
    <pivotTable tabId="13" name="PivotTable2"/>
    <pivotTable tabId="13" name="PivotTable1"/>
    <pivotTable tabId="13" name="PivotTable3"/>
    <pivotTable tabId="13" name="PivotTable4"/>
  </pivotTables>
  <data>
    <tabular pivotCacheId="328102846">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Name" xr10:uid="{CC9375E2-568A-4920-A550-D4CB0E51BF12}" sourceName="Last Name">
  <pivotTables>
    <pivotTable tabId="13" name="PivotTable2"/>
    <pivotTable tabId="13" name="PivotTable1"/>
    <pivotTable tabId="13" name="PivotTable3"/>
    <pivotTable tabId="13" name="PivotTable4"/>
  </pivotTables>
  <data>
    <tabular pivotCacheId="32810284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Fail" xr10:uid="{7A938EC7-641C-47EB-A8C5-91338DD29D9C}" sourceName="Is_Fail">
  <pivotTables>
    <pivotTable tabId="13" name="PivotTable2"/>
    <pivotTable tabId="13" name="PivotTable1"/>
    <pivotTable tabId="13" name="PivotTable3"/>
    <pivotTable tabId="13" name="PivotTable4"/>
  </pivotTables>
  <data>
    <tabular pivotCacheId="32810284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ID" xr10:uid="{154ACE74-CFD3-4846-AC4E-6638E8ADF4E2}" cache="Slicer_Student_ID" caption="Student ID" rowHeight="234950"/>
  <slicer name="Last Name" xr10:uid="{F4B4B0E3-FFEB-4006-B66D-7A3791938868}" cache="Slicer_Last_Name" caption="Last Name" rowHeight="234950"/>
  <slicer name="Is_Fail" xr10:uid="{EEE9D078-83DD-4FB2-8984-00E1845C3935}" cache="Slicer_Is_Fail" caption="Is_Fai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ID 1" xr10:uid="{6B118D8C-335C-4E21-BD0D-C349B513ED73}" cache="Slicer_Student_ID" caption="Student ID" columnCount="2" rowHeight="234950"/>
  <slicer name="Last Name 1" xr10:uid="{433647F7-1479-433C-BFDF-F782E3EA67B5}" cache="Slicer_Last_Name" caption="Last Name" rowHeight="234950"/>
  <slicer name="Is_Fail 1" xr10:uid="{0BF9BFBC-3708-4731-907C-C250BD426F6E}" cache="Slicer_Is_Fail" caption="Is_Fai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F8F325-2E98-4826-AFDA-CF7D2B89EA15}" name="Table1" displayName="Table1" ref="A4:K9" totalsRowShown="0" headerRowDxfId="130">
  <autoFilter ref="A4:K9" xr:uid="{52F8F325-2E98-4826-AFDA-CF7D2B89EA15}"/>
  <tableColumns count="11">
    <tableColumn id="1" xr3:uid="{53B2C7D9-3BAD-4580-AD00-FB620CDDB9E2}" name="Student ID" dataDxfId="138"/>
    <tableColumn id="2" xr3:uid="{57A74D35-1561-4723-94E6-C1E5B57B7E0C}" name="First Name" dataDxfId="137"/>
    <tableColumn id="3" xr3:uid="{0B7DF4C8-8344-435E-84DE-80F6B7C56DC0}" name="Last Name" dataDxfId="136"/>
    <tableColumn id="4" xr3:uid="{7F1A6DC2-B0C9-457F-ADF7-10B291667E98}" name="Mathematics" dataDxfId="135"/>
    <tableColumn id="5" xr3:uid="{0224D916-1810-43CD-9B0C-04B06AE8B4BB}" name="Science" dataDxfId="134"/>
    <tableColumn id="6" xr3:uid="{A19A76D3-A4E5-407F-885F-34EA13C50497}" name="English" dataDxfId="133"/>
    <tableColumn id="7" xr3:uid="{BD32F8D7-0529-4D6F-A809-448DC47E1C5E}" name="Computer" dataDxfId="132"/>
    <tableColumn id="8" xr3:uid="{D0B706BD-59C1-458F-8BAF-4AC13BED1FA7}" name="Social Science" dataDxfId="131"/>
    <tableColumn id="9" xr3:uid="{9828FC4F-CAF3-4E33-8348-E7629EB64287}" name="Total">
      <calculatedColumnFormula>SUM(D5:H5)</calculatedColumnFormula>
    </tableColumn>
    <tableColumn id="10" xr3:uid="{61EFB490-092A-4702-8371-D5846A6F9BF9}" name="Average">
      <calculatedColumnFormula>I5/5</calculatedColumnFormula>
    </tableColumn>
    <tableColumn id="11" xr3:uid="{6626DF7E-319C-4292-9F3C-8DFF4A77F04D}" name="Percentage">
      <calculatedColumnFormula>(I5/500) *100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6691B5-CE6B-465E-8867-29EF36DB31E5}" name="Table13" displayName="Table13" ref="A4:L9" totalsRowShown="0" headerRowDxfId="129">
  <autoFilter ref="A4:L9" xr:uid="{C66691B5-CE6B-465E-8867-29EF36DB31E5}"/>
  <tableColumns count="12">
    <tableColumn id="1" xr3:uid="{D28A7CEB-ACF5-43E8-9F48-38FD8135AD88}" name="Student ID" dataDxfId="128"/>
    <tableColumn id="2" xr3:uid="{E4737868-1B0B-4385-9DF7-E09E49E55448}" name="First Name" dataDxfId="127"/>
    <tableColumn id="3" xr3:uid="{B096820D-AF23-46E9-B375-694C4A2DB230}" name="Last Name" dataDxfId="126"/>
    <tableColumn id="4" xr3:uid="{2660FD7C-B0C8-49E0-9797-5DDAFB0EC8BE}" name="Mathematics" dataDxfId="125"/>
    <tableColumn id="5" xr3:uid="{CF0536E0-D4D2-4BDE-95B3-AD23343F6F22}" name="Science" dataDxfId="124"/>
    <tableColumn id="6" xr3:uid="{8C82BD29-F4D9-4AB5-A57A-23044C422BFB}" name="English" dataDxfId="123"/>
    <tableColumn id="7" xr3:uid="{AAAE361D-4735-440E-9287-A0CF79E876EC}" name="Computer" dataDxfId="122"/>
    <tableColumn id="8" xr3:uid="{7961250A-A062-4D6C-ACAD-A285D4F8EDE3}" name="Social Science" dataDxfId="121"/>
    <tableColumn id="9" xr3:uid="{D9E79DEC-85E4-4818-A1F5-32814E0B5EE7}" name="Total">
      <calculatedColumnFormula>SUM(D5:H5)</calculatedColumnFormula>
    </tableColumn>
    <tableColumn id="10" xr3:uid="{D812D310-E6AE-408B-874E-6AC0360B88DF}" name="Average">
      <calculatedColumnFormula>I5/5</calculatedColumnFormula>
    </tableColumn>
    <tableColumn id="11" xr3:uid="{323F35C8-1D32-479D-AE98-DA627A6ECA7A}" name="Percentage">
      <calculatedColumnFormula>(I5/500) *100</calculatedColumnFormula>
    </tableColumn>
    <tableColumn id="12" xr3:uid="{57D7BCB5-D2CA-4C27-B4A4-9CF818A7A3D4}" name="Is_Fail" dataDxfId="120">
      <calculatedColumnFormula>IF(SUMIF(Table13[[#This Row],[Mathematics]]:Table13[[#This Row],[Social Science]],"&gt;=50",Table13[[#This Row],[Mathematics]]:Table13[[#This Row],[Social Science]])=SUM(Table13[[#This Row],[Mathematics]]:Table13[[#This Row],[Social Science]]),"Pass","Fail")</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256F61-76D7-4D60-B58F-C060BA9034A5}" name="Table134" displayName="Table134" ref="A4:M9" totalsRowShown="0" headerRowDxfId="119">
  <autoFilter ref="A4:M9" xr:uid="{D7256F61-76D7-4D60-B58F-C060BA9034A5}"/>
  <tableColumns count="13">
    <tableColumn id="1" xr3:uid="{61FBD083-DEA9-4A5F-B7AD-7DE5E0AF3EA6}" name="Student ID" dataDxfId="118"/>
    <tableColumn id="2" xr3:uid="{29D5872C-05FC-4E84-980D-05F52CFF9C01}" name="First Name" dataDxfId="117"/>
    <tableColumn id="3" xr3:uid="{8AAB3AD3-7857-4710-9537-F89868D676B0}" name="Last Name" dataDxfId="116"/>
    <tableColumn id="4" xr3:uid="{B632B2E5-5037-4B35-8717-B8EE6C5919E3}" name="Mathematics" dataDxfId="115"/>
    <tableColumn id="5" xr3:uid="{5F2FEBF8-61EF-48BD-8A02-129C301F76F0}" name="Science" dataDxfId="114"/>
    <tableColumn id="6" xr3:uid="{9E0C1AEA-C134-41F9-8E0F-CED11150B837}" name="English" dataDxfId="113"/>
    <tableColumn id="7" xr3:uid="{EDACBA13-66FD-430E-B962-9A149866576F}" name="Computer" dataDxfId="112"/>
    <tableColumn id="8" xr3:uid="{DCE6F37F-EC88-4555-B8BF-B4252660307E}" name="Social Science" dataDxfId="111"/>
    <tableColumn id="9" xr3:uid="{E894D6CD-EC56-4CF6-B96D-3F7BE09D9ACA}" name="Total">
      <calculatedColumnFormula>SUM(D5:H5)</calculatedColumnFormula>
    </tableColumn>
    <tableColumn id="10" xr3:uid="{018D4BD9-375A-4262-A474-3831320122CF}" name="Average">
      <calculatedColumnFormula>I5/5</calculatedColumnFormula>
    </tableColumn>
    <tableColumn id="11" xr3:uid="{737ED970-3AE8-4213-92D3-999519F577D3}" name="Percentage">
      <calculatedColumnFormula>(I5/500) *100</calculatedColumnFormula>
    </tableColumn>
    <tableColumn id="12" xr3:uid="{7D9AADBF-61D0-4A90-B864-6BB1E10A0198}" name="Is_Fail" dataDxfId="110">
      <calculatedColumnFormula>IF(SUMIF(Table134[[#This Row],[Mathematics]]:Table134[[#This Row],[Social Science]],"&gt;=50",Table134[[#This Row],[Mathematics]]:Table134[[#This Row],[Social Science]])=SUM(Table134[[#This Row],[Mathematics]]:Table134[[#This Row],[Social Science]]),"Pass","Fail")</calculatedColumnFormula>
    </tableColumn>
    <tableColumn id="13" xr3:uid="{1FAD9B18-19E3-4478-803A-A947D560C178}" name="Marks Given in No of Sub" dataDxfId="109">
      <calculatedColumnFormula>COUNTA(Table134[[#This Row],[Mathematics]]:Table134[[#This Row],[Social Science]])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974C4C-35BB-47C7-8AE1-37702E163010}" name="Table4" displayName="Table4" ref="A4:C5" totalsRowShown="0">
  <autoFilter ref="A4:C5" xr:uid="{FA974C4C-35BB-47C7-8AE1-37702E163010}"/>
  <tableColumns count="3">
    <tableColumn id="1" xr3:uid="{9BC8F24A-7CDD-4EC9-A968-EA806386F442}" name="Today" dataDxfId="108">
      <calculatedColumnFormula>TODAY()</calculatedColumnFormula>
    </tableColumn>
    <tableColumn id="2" xr3:uid="{C565DE20-CFC8-473E-BA53-B2959F4D37B4}" name="RandomBetween">
      <calculatedColumnFormula>RANDBETWEEN(DATE(2004,11,6),A5)</calculatedColumnFormula>
    </tableColumn>
    <tableColumn id="3" xr3:uid="{11F3C7AC-9774-4699-91F0-666E624F4385}" name="Currenttime and date" dataDxfId="107">
      <calculatedColumnFormula>NOW()</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0F2D01-F7C7-47AC-9B24-1172A3697DDD}" name="Table1346" displayName="Table1346" ref="A4:M9" totalsRowShown="0" headerRowDxfId="106">
  <autoFilter ref="A4:M9" xr:uid="{DF0F2D01-F7C7-47AC-9B24-1172A3697DDD}"/>
  <tableColumns count="13">
    <tableColumn id="1" xr3:uid="{7802A92C-2DB9-4CE9-B88F-37F3984BE8C6}" name="Student ID" dataDxfId="105"/>
    <tableColumn id="2" xr3:uid="{52E8BA69-A982-4675-B20C-CAEF5E886AE2}" name="First Name" dataDxfId="104"/>
    <tableColumn id="3" xr3:uid="{53879549-51C7-40E2-9EEB-F2A244B0526D}" name="Last Name" dataDxfId="103"/>
    <tableColumn id="4" xr3:uid="{E74F3DBB-9CFB-4B3D-ACF3-3879ECE04432}" name="Mathematics" dataDxfId="102"/>
    <tableColumn id="5" xr3:uid="{30DD0B88-1995-465F-9404-9576FBEAFB3B}" name="Science" dataDxfId="101"/>
    <tableColumn id="6" xr3:uid="{835E4E9E-223A-46DB-81AB-1C0B2CF0F15E}" name="English" dataDxfId="100"/>
    <tableColumn id="7" xr3:uid="{677A6D66-5B24-423F-BF56-E7A3C22958FA}" name="Computer" dataDxfId="99"/>
    <tableColumn id="8" xr3:uid="{6E558995-D44E-46EC-B4BF-0BF7C4ABCF9F}" name="Social Science" dataDxfId="98"/>
    <tableColumn id="9" xr3:uid="{7033920F-7BA6-4305-968A-EC6376F50BDF}" name="Total">
      <calculatedColumnFormula>SUM(D5:H5)</calculatedColumnFormula>
    </tableColumn>
    <tableColumn id="10" xr3:uid="{DC09A4A4-486F-4738-B4B4-25FAF018656D}" name="Average">
      <calculatedColumnFormula>I5/5</calculatedColumnFormula>
    </tableColumn>
    <tableColumn id="11" xr3:uid="{F4FA9702-8E60-4A2F-862F-07DEE30AB61A}" name="Percentage">
      <calculatedColumnFormula>(I5/500) *100</calculatedColumnFormula>
    </tableColumn>
    <tableColumn id="12" xr3:uid="{FB56E401-7E68-47DD-8647-B59702261CCC}" name="Is_Fail" dataDxfId="97">
      <calculatedColumnFormula>IF(SUMIF(Table1346[[#This Row],[Mathematics]]:Table1346[[#This Row],[Social Science]],"&gt;=50",Table1346[[#This Row],[Mathematics]]:Table1346[[#This Row],[Social Science]])=SUM(Table1346[[#This Row],[Mathematics]]:Table1346[[#This Row],[Social Science]]),"Pass","Fail")</calculatedColumnFormula>
    </tableColumn>
    <tableColumn id="13" xr3:uid="{870B2468-C472-45FD-82EB-312143BDEE19}" name="Marks Given in No of Sub" dataDxfId="96">
      <calculatedColumnFormula>COUNTA(Table1346[[#This Row],[Mathematics]]:Table1346[[#This Row],[Social Science]])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E4E3716-C7CB-4120-A74A-316267A9B17E}" name="Table13468" displayName="Table13468" ref="A4:P9" totalsRowShown="0" headerRowDxfId="95">
  <autoFilter ref="A4:P9" xr:uid="{6E4E3716-C7CB-4120-A74A-316267A9B17E}"/>
  <tableColumns count="16">
    <tableColumn id="1" xr3:uid="{EBEF62FB-0D65-4EDB-9E0B-C35FE5677F9D}" name="Student ID" dataDxfId="94"/>
    <tableColumn id="2" xr3:uid="{490D93E0-98BD-45A5-A294-F00890353815}" name="First Name" dataDxfId="93"/>
    <tableColumn id="3" xr3:uid="{A4AEC267-D0B1-4695-9A62-4EBC72BAA42F}" name="Last Name" dataDxfId="92"/>
    <tableColumn id="4" xr3:uid="{D9E5D66C-F25E-4DB6-B9CB-4422199012E0}" name="Mathematics" dataDxfId="91"/>
    <tableColumn id="5" xr3:uid="{CAA09BB7-036B-4272-B731-07E973B3C233}" name="Science" dataDxfId="90"/>
    <tableColumn id="6" xr3:uid="{F183FCEE-158F-4495-9A6F-9BB98BECE5AF}" name="English" dataDxfId="89"/>
    <tableColumn id="7" xr3:uid="{52716CC1-1013-4765-AA72-0D3020DD8B23}" name="Computer" dataDxfId="88"/>
    <tableColumn id="8" xr3:uid="{04580D36-911B-40D6-A53B-C11119D11A34}" name="Social Science" dataDxfId="87"/>
    <tableColumn id="9" xr3:uid="{A637D1D8-DC11-4270-9652-DFACD3F64274}" name="Total">
      <calculatedColumnFormula>SUM(D5:H5)</calculatedColumnFormula>
    </tableColumn>
    <tableColumn id="10" xr3:uid="{EDCBE94B-77DE-4187-A55E-0F6DD293E7AF}" name="Average">
      <calculatedColumnFormula>I5/5</calculatedColumnFormula>
    </tableColumn>
    <tableColumn id="11" xr3:uid="{A7D27E8A-C964-4176-88C8-08ECC59B90A0}" name="Percentage">
      <calculatedColumnFormula>(I5/500) *100</calculatedColumnFormula>
    </tableColumn>
    <tableColumn id="12" xr3:uid="{73BA40EF-381A-436D-A52C-44B929879A63}" name="Is_Fail" dataDxfId="86">
      <calculatedColumnFormula>IF(SUMIF(Table13468[[#This Row],[Mathematics]]:Table13468[[#This Row],[Social Science]],"&gt;=50",Table13468[[#This Row],[Mathematics]]:Table13468[[#This Row],[Social Science]])=SUM(Table13468[[#This Row],[Mathematics]]:Table13468[[#This Row],[Social Science]]),"Pass","Fail")</calculatedColumnFormula>
    </tableColumn>
    <tableColumn id="13" xr3:uid="{266C7492-2CD8-475D-B4FD-0B8DF87D0F45}" name="Marks Given in No of Sub" dataDxfId="85">
      <calculatedColumnFormula>COUNTA(Table13468[[#This Row],[Mathematics]]:Table13468[[#This Row],[Social Science]])</calculatedColumnFormula>
    </tableColumn>
    <tableColumn id="14" xr3:uid="{0CF6171B-9DA2-4B20-AD3E-374B695FD288}" name="Length of first name" dataDxfId="84">
      <calculatedColumnFormula>LEN(Table13468[[#This Row],[First Name]])</calculatedColumnFormula>
    </tableColumn>
    <tableColumn id="15" xr3:uid="{1816629B-A931-40D7-86E9-F59BD87EED79}" name="Capatilize first letter of first name" dataDxfId="83">
      <calculatedColumnFormula>PROPER(Table13468[[#This Row],[First Name]])</calculatedColumnFormula>
    </tableColumn>
    <tableColumn id="16" xr3:uid="{B27E4287-F4A1-40C9-A3C1-1A274FD165A7}" name="Capatilize all letters of first name" dataDxfId="82">
      <calculatedColumnFormula>UPPER(Table13468[[#This Row],[First Name]])</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7672C71-A59F-476C-B489-2759115F71A9}" name="Table1346810" displayName="Table1346810" ref="A4:S9" totalsRowShown="0" headerRowDxfId="81">
  <autoFilter ref="A4:S9" xr:uid="{37672C71-A59F-476C-B489-2759115F71A9}"/>
  <tableColumns count="19">
    <tableColumn id="1" xr3:uid="{02292335-EBF9-4612-BA00-682F2CAE8C7E}" name="Student ID" dataDxfId="80"/>
    <tableColumn id="2" xr3:uid="{F9340166-992B-4905-BA65-F7ECCBDD853D}" name="First Name" dataDxfId="79"/>
    <tableColumn id="3" xr3:uid="{B30F671F-DB60-4EB8-A106-0C0C468A7F6E}" name="Last Name" dataDxfId="78"/>
    <tableColumn id="4" xr3:uid="{B4365434-48A6-46EF-A020-43680A8B371F}" name="Mathematics" dataDxfId="77"/>
    <tableColumn id="5" xr3:uid="{009C104F-66F9-47B6-8D89-56B8CD79CC5D}" name="Science" dataDxfId="76"/>
    <tableColumn id="6" xr3:uid="{FC055E2C-6BDE-4032-ACB9-AB5F764CB7FF}" name="English" dataDxfId="75"/>
    <tableColumn id="7" xr3:uid="{2503E4F6-4349-4B98-955A-96F5E91AEC82}" name="Computer" dataDxfId="74"/>
    <tableColumn id="8" xr3:uid="{C2082278-508C-4D71-B4A1-D2040E8F8463}" name="Social Science" dataDxfId="73"/>
    <tableColumn id="9" xr3:uid="{C5F612A4-1C9E-4754-96B3-2B8C90253387}" name="Total">
      <calculatedColumnFormula>SUM(D5:H5)</calculatedColumnFormula>
    </tableColumn>
    <tableColumn id="10" xr3:uid="{164A0EFB-5E99-46CC-9166-B7971927E33F}" name="Average">
      <calculatedColumnFormula>I5/5</calculatedColumnFormula>
    </tableColumn>
    <tableColumn id="11" xr3:uid="{BB3EE249-1667-40D9-A075-DD409157CD66}" name="Percentage">
      <calculatedColumnFormula>(I5/500) *100</calculatedColumnFormula>
    </tableColumn>
    <tableColumn id="12" xr3:uid="{6FE3D1B2-7189-4FCE-87CB-2E2FC09DE3F4}" name="Is_Fail" dataDxfId="72">
      <calculatedColumnFormula>IF(SUMIF(Table1346810[[#This Row],[Mathematics]]:Table1346810[[#This Row],[Social Science]],"&gt;=50",Table1346810[[#This Row],[Mathematics]]:Table1346810[[#This Row],[Social Science]])=SUM(Table1346810[[#This Row],[Mathematics]]:Table1346810[[#This Row],[Social Science]]),"Pass","Fail")</calculatedColumnFormula>
    </tableColumn>
    <tableColumn id="13" xr3:uid="{748253A8-2508-477F-9564-4C48CF41D53F}" name="Marks Given in No of Sub" dataDxfId="71">
      <calculatedColumnFormula>COUNTA(Table1346810[[#This Row],[Mathematics]]:Table1346810[[#This Row],[Social Science]])</calculatedColumnFormula>
    </tableColumn>
    <tableColumn id="14" xr3:uid="{26D03FD3-4979-45F9-8AE9-1D0445526931}" name="Length of first name" dataDxfId="70">
      <calculatedColumnFormula>LEN(Table1346810[[#This Row],[First Name]])</calculatedColumnFormula>
    </tableColumn>
    <tableColumn id="15" xr3:uid="{50D5EBED-FCA6-4F85-ADCC-2AACC7F61593}" name="Capatilize first letter of first name" dataDxfId="69">
      <calculatedColumnFormula>PROPER(Table1346810[[#This Row],[First Name]])</calculatedColumnFormula>
    </tableColumn>
    <tableColumn id="16" xr3:uid="{01775DDB-59F0-496B-8B32-E36C2651DE80}" name="Capatilize all letters of first name" dataDxfId="68">
      <calculatedColumnFormula>UPPER(Table1346810[[#This Row],[First Name]])</calculatedColumnFormula>
    </tableColumn>
    <tableColumn id="17" xr3:uid="{DA0FBE8F-E20D-4877-8F40-125E52A1EA4C}" name="Remove special char" dataDxfId="67">
      <calculatedColumnFormula>SUBSTITUTE(Table1346810[[#This Row],[First Name]],"@","")</calculatedColumnFormula>
    </tableColumn>
    <tableColumn id="18" xr3:uid="{9816547F-F6CD-4C90-9BAF-3E79997F1DC9}" name="Remove space" dataDxfId="66">
      <calculatedColumnFormula>TRIM(Table1346810[[#This Row],[First Name]])</calculatedColumnFormula>
    </tableColumn>
    <tableColumn id="19" xr3:uid="{D4BBE998-05FE-4D1C-8315-BCC1A5D19613}" name="overwrite(u-&gt;i)" dataDxfId="65">
      <calculatedColumnFormula>SUBSTITUTE(Table1346810[[#This Row],[First Name]],"u","i")</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22CEABA-ED7B-4872-91B0-589E2AE418DB}" name="Table134681011" displayName="Table134681011" ref="A4:S9" totalsRowShown="0" headerRowDxfId="64">
  <autoFilter ref="A4:S9" xr:uid="{922CEABA-ED7B-4872-91B0-589E2AE418DB}"/>
  <tableColumns count="19">
    <tableColumn id="1" xr3:uid="{92ECEC39-7D00-4E6E-8F0A-C0019844C7AD}" name="Student ID" dataDxfId="63"/>
    <tableColumn id="2" xr3:uid="{7A25AA97-2D2E-4B44-8D18-28555B90E196}" name="First Name" dataDxfId="62"/>
    <tableColumn id="3" xr3:uid="{F34444D7-4EE6-433D-BF46-31136D598438}" name="Last Name" dataDxfId="61"/>
    <tableColumn id="4" xr3:uid="{17352655-9333-41D2-AF60-8AA7DB60D9B9}" name="Mathematics" dataDxfId="60"/>
    <tableColumn id="5" xr3:uid="{D906CD30-38DD-4733-9438-A958F7AF7B2C}" name="Science" dataDxfId="59"/>
    <tableColumn id="6" xr3:uid="{A5EA06E7-AF1E-493F-B2E9-CF0628B850A5}" name="English" dataDxfId="58"/>
    <tableColumn id="7" xr3:uid="{8D8255B2-E012-4E30-B89C-626462BC26C2}" name="Computer" dataDxfId="57"/>
    <tableColumn id="8" xr3:uid="{442D29E1-9562-4A56-95E4-B84CEBB4BFAF}" name="Social Science" dataDxfId="56"/>
    <tableColumn id="9" xr3:uid="{7426FC18-9EE1-4209-B139-DF6E4BB710DA}" name="Total">
      <calculatedColumnFormula>SUM(D5:H5)</calculatedColumnFormula>
    </tableColumn>
    <tableColumn id="10" xr3:uid="{4DE9349B-B1D5-4AC3-ABD7-D46B40E77955}" name="Average">
      <calculatedColumnFormula>I5/5</calculatedColumnFormula>
    </tableColumn>
    <tableColumn id="11" xr3:uid="{5C72F0AD-1801-435B-A6C7-7DB1596469E1}" name="Percentage">
      <calculatedColumnFormula>(I5/500) *100</calculatedColumnFormula>
    </tableColumn>
    <tableColumn id="12" xr3:uid="{8484B786-5995-4E42-9514-EDCE0DC6A4CA}" name="Is_Fail" dataDxfId="55">
      <calculatedColumnFormula>IF(SUMIF(Table134681011[[#This Row],[Mathematics]]:Table134681011[[#This Row],[Social Science]],"&gt;=50",Table134681011[[#This Row],[Mathematics]]:Table134681011[[#This Row],[Social Science]])=SUM(Table134681011[[#This Row],[Mathematics]]:Table134681011[[#This Row],[Social Science]]),"Pass","Fail")</calculatedColumnFormula>
    </tableColumn>
    <tableColumn id="13" xr3:uid="{A619474E-44B9-4636-9374-605C8456F072}" name="Marks Given in No of Sub" dataDxfId="54">
      <calculatedColumnFormula>COUNTA(Table134681011[[#This Row],[Mathematics]]:Table134681011[[#This Row],[Social Science]])</calculatedColumnFormula>
    </tableColumn>
    <tableColumn id="14" xr3:uid="{E1A92643-453E-4AE3-A359-83E25110B4E3}" name="Length of first name" dataDxfId="53">
      <calculatedColumnFormula>LEN(Table134681011[[#This Row],[First Name]])</calculatedColumnFormula>
    </tableColumn>
    <tableColumn id="15" xr3:uid="{F5E65BA7-0366-4BFA-BDB0-D0CCD65B7CE5}" name="Capatilize first letter of first name" dataDxfId="52">
      <calculatedColumnFormula>PROPER(Table134681011[[#This Row],[First Name]])</calculatedColumnFormula>
    </tableColumn>
    <tableColumn id="16" xr3:uid="{7F5F36C3-2370-4CC3-BB80-7AF82697E0BC}" name="Capatilize all letters of first name" dataDxfId="51">
      <calculatedColumnFormula>UPPER(Table134681011[[#This Row],[First Name]])</calculatedColumnFormula>
    </tableColumn>
    <tableColumn id="17" xr3:uid="{E7BC7CD2-44A2-45F2-9862-DAB5E4D90ACF}" name="Remove special char" dataDxfId="50">
      <calculatedColumnFormula>SUBSTITUTE(Table134681011[[#This Row],[First Name]],"@","")</calculatedColumnFormula>
    </tableColumn>
    <tableColumn id="18" xr3:uid="{9CF0D029-9F9A-40BC-A751-8285AAEB214E}" name="Remove space" dataDxfId="49">
      <calculatedColumnFormula>TRIM(Table134681011[[#This Row],[First Name]])</calculatedColumnFormula>
    </tableColumn>
    <tableColumn id="19" xr3:uid="{F2C5FECF-CF26-486F-80A0-647BCCAA6B4F}" name="overwrite(u-&gt;i)" dataDxfId="48">
      <calculatedColumnFormula>SUBSTITUTE(Table134681011[[#This Row],[First Name]],"u","i")</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F0D1DFB-F058-41A9-8CF0-DA074D9FDFDA}" name="Table13468101112" displayName="Table13468101112" ref="A4:M9" totalsRowShown="0" headerRowDxfId="47">
  <autoFilter ref="A4:M9" xr:uid="{6F0D1DFB-F058-41A9-8CF0-DA074D9FDFDA}"/>
  <tableColumns count="13">
    <tableColumn id="1" xr3:uid="{34E7E7EF-B465-48F2-9AF6-013026F8A651}" name="Student ID" dataDxfId="46"/>
    <tableColumn id="2" xr3:uid="{60F0D4CC-192A-4C9F-B07D-8DA37BF27D6E}" name="First Name" dataDxfId="45"/>
    <tableColumn id="3" xr3:uid="{4F4F9290-C133-4596-BF55-289CEB0D0B8B}" name="Last Name" dataDxfId="44"/>
    <tableColumn id="4" xr3:uid="{B892B865-30A8-43CE-928D-4D47121A559A}" name="Mathematics" dataDxfId="43"/>
    <tableColumn id="5" xr3:uid="{059821D4-CF2F-49B7-8A6A-26EA59C7F729}" name="Science" dataDxfId="42"/>
    <tableColumn id="6" xr3:uid="{22D366F9-B03D-4543-8911-9AC44CA07A04}" name="English" dataDxfId="41"/>
    <tableColumn id="7" xr3:uid="{7068B6AE-B3C2-4F5B-8192-99386294BC66}" name="Computer" dataDxfId="40"/>
    <tableColumn id="8" xr3:uid="{F9C75004-790C-49AA-8010-3919283D9835}" name="Social Science" dataDxfId="39"/>
    <tableColumn id="9" xr3:uid="{8922FAD7-D69C-4E79-954E-41464A33C171}" name="Total">
      <calculatedColumnFormula>SUM(D5:H5)</calculatedColumnFormula>
    </tableColumn>
    <tableColumn id="10" xr3:uid="{C3C65F0B-AA8D-450B-8211-9806FACA3F23}" name="Average">
      <calculatedColumnFormula>I5/5</calculatedColumnFormula>
    </tableColumn>
    <tableColumn id="11" xr3:uid="{CB98FADB-0F9B-48F6-A2D3-8C2B876BB7E0}" name="Percentage">
      <calculatedColumnFormula>(I5/500) *100</calculatedColumnFormula>
    </tableColumn>
    <tableColumn id="12" xr3:uid="{17D22616-3DA4-429F-ABF1-906935FD9712}" name="Is_Fail" dataDxfId="38">
      <calculatedColumnFormula>IF(SUMIF(Table13468101112[[#This Row],[Mathematics]]:Table13468101112[[#This Row],[Social Science]],"&gt;=50",Table13468101112[[#This Row],[Mathematics]]:Table13468101112[[#This Row],[Social Science]])=SUM(Table13468101112[[#This Row],[Mathematics]]:Table13468101112[[#This Row],[Social Science]]),"Pass","Fail")</calculatedColumnFormula>
    </tableColumn>
    <tableColumn id="20" xr3:uid="{493C2414-FBF6-4EAD-837B-6734184E0C02}" name="Full_Name" dataDxfId="37">
      <calculatedColumnFormula>_xlfn.CONCAT(Table13468101112[[#This Row],[First Name]],Table13468101112[[#This Row],[Last Name]])</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690792C-CFD3-4760-A7F6-60B9A073BAA0}" name="Table1346810111213" displayName="Table1346810111213" ref="A4:O9" totalsRowShown="0" headerRowDxfId="36">
  <autoFilter ref="A4:O9" xr:uid="{6690792C-CFD3-4760-A7F6-60B9A073BAA0}"/>
  <tableColumns count="15">
    <tableColumn id="1" xr3:uid="{148E37EB-FF39-4790-B3E1-07FEB3084293}" name="Student ID" dataDxfId="35"/>
    <tableColumn id="2" xr3:uid="{671723F5-9830-439C-AC26-6AE107FA92A5}" name="First Name" dataDxfId="34"/>
    <tableColumn id="3" xr3:uid="{CBED2247-EB26-4F54-A505-993056DE8B08}" name="Last Name" dataDxfId="33"/>
    <tableColumn id="4" xr3:uid="{8B7A66F9-5293-4672-82A6-A72E05771B9F}" name="Mathematics" dataDxfId="32"/>
    <tableColumn id="5" xr3:uid="{5C2C6047-F24B-4EC2-B0F7-C91D6A8EC9E6}" name="Science" dataDxfId="31"/>
    <tableColumn id="6" xr3:uid="{6C6C4623-E124-4E6D-8CCB-E5C31DE3AB9F}" name="English" dataDxfId="30"/>
    <tableColumn id="7" xr3:uid="{5032587E-6DE6-4066-8E5E-909ED9DF2A64}" name="Computer" dataDxfId="29"/>
    <tableColumn id="8" xr3:uid="{3DF51C99-5055-4C37-A372-B556A17B0849}" name="Social Science" dataDxfId="28"/>
    <tableColumn id="9" xr3:uid="{CA481CB3-D25E-49CF-85B4-62594F37AE1D}" name="Total">
      <calculatedColumnFormula>SUM(D5:H5)</calculatedColumnFormula>
    </tableColumn>
    <tableColumn id="10" xr3:uid="{CF4056D6-E653-4162-9B0A-849F19176FEF}" name="Average">
      <calculatedColumnFormula>I5/5</calculatedColumnFormula>
    </tableColumn>
    <tableColumn id="11" xr3:uid="{441DC0BF-A4BC-4DC1-A7F8-A95C413211AC}" name="Percentage">
      <calculatedColumnFormula>(I5/500) *100</calculatedColumnFormula>
    </tableColumn>
    <tableColumn id="12" xr3:uid="{FA3D2002-9E26-420E-BD3A-5C4FEBC7BAA0}" name="Is_Fail" dataDxfId="27">
      <calculatedColumnFormula>IF(SUMIF(Table1346810111213[[#This Row],[Mathematics]]:Table1346810111213[[#This Row],[Social Science]],"&gt;=50",Table1346810111213[[#This Row],[Mathematics]]:Table1346810111213[[#This Row],[Social Science]])=SUM(Table1346810111213[[#This Row],[Mathematics]]:Table1346810111213[[#This Row],[Social Science]]),"Pass","Fail")</calculatedColumnFormula>
    </tableColumn>
    <tableColumn id="20" xr3:uid="{368F56F9-8CC5-4C19-8A4D-1349D4A7CD2D}" name="Full_Name" dataDxfId="26">
      <calculatedColumnFormula>_xlfn.TEXTJOIN(" ",TRUE,Table1346810111213[[#This Row],[First Name]],Table1346810111213[[#This Row],[Last Name]])</calculatedColumnFormula>
    </tableColumn>
    <tableColumn id="21" xr3:uid="{BC0C2947-C8B3-4F1C-8A8C-C1529176D285}" name="FirstName" dataDxfId="25">
      <calculatedColumnFormula>LEFT(Table1346810111213[[#This Row],[Full_Name]],FIND(" ",Table1346810111213[[#This Row],[Full_Name]])-1)</calculatedColumnFormula>
    </tableColumn>
    <tableColumn id="22" xr3:uid="{A3C433AB-167E-4FCF-99C3-EC4C56593E6A}" name="LastName" dataDxfId="24">
      <calculatedColumnFormula>RIGHT(Table1346810111213[[#This Row],[Full_Name]],LEN(Table1346810111213[[#This Row],[Full_Name]])-FIND(" ",Table1346810111213[[#This Row],[Full_Name]]))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hyperlink" Target="mailto:Shubh@"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hyperlink" Target="mailto:Shubh@" TargetMode="Externa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mailto:Shubh@" TargetMode="Externa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hyperlink" Target="mailto:Shubh@" TargetMode="Externa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07E6B-0335-4D8B-A1D1-13E8BB8B2C89}">
  <dimension ref="A1:J9"/>
  <sheetViews>
    <sheetView workbookViewId="0"/>
  </sheetViews>
  <sheetFormatPr defaultRowHeight="14.4" x14ac:dyDescent="0.3"/>
  <cols>
    <col min="1" max="1" width="7.6640625" bestFit="1" customWidth="1"/>
    <col min="2" max="2" width="7.77734375" bestFit="1" customWidth="1"/>
    <col min="3" max="3" width="7.109375" bestFit="1" customWidth="1"/>
    <col min="4" max="4" width="8.21875" bestFit="1" customWidth="1"/>
    <col min="5" max="5" width="7.33203125" bestFit="1" customWidth="1"/>
    <col min="6" max="6" width="6.88671875" bestFit="1" customWidth="1"/>
    <col min="7" max="7" width="8.77734375" bestFit="1" customWidth="1"/>
    <col min="8" max="8" width="7.33203125" bestFit="1" customWidth="1"/>
    <col min="9" max="9" width="5.21875" bestFit="1" customWidth="1"/>
    <col min="10" max="10" width="8.44140625" bestFit="1" customWidth="1"/>
  </cols>
  <sheetData>
    <row r="1" spans="1:10" x14ac:dyDescent="0.3">
      <c r="A1" s="7"/>
      <c r="B1" s="7"/>
      <c r="C1" s="7"/>
      <c r="D1" s="10" t="s">
        <v>17</v>
      </c>
      <c r="E1" s="7"/>
      <c r="F1" s="7"/>
      <c r="G1" s="7"/>
      <c r="H1" s="7"/>
    </row>
    <row r="2" spans="1:10" x14ac:dyDescent="0.3">
      <c r="B2" s="9" t="s">
        <v>18</v>
      </c>
      <c r="C2" s="8"/>
      <c r="D2" s="8"/>
      <c r="E2" s="8"/>
      <c r="F2" s="8"/>
    </row>
    <row r="3" spans="1:10" x14ac:dyDescent="0.3">
      <c r="I3" s="2"/>
      <c r="J3" s="2"/>
    </row>
    <row r="4" spans="1:10" ht="28.8" x14ac:dyDescent="0.3">
      <c r="A4" s="5" t="s">
        <v>0</v>
      </c>
      <c r="B4" s="5" t="s">
        <v>1</v>
      </c>
      <c r="C4" s="5" t="s">
        <v>2</v>
      </c>
      <c r="D4" s="6" t="s">
        <v>3</v>
      </c>
      <c r="E4" s="6" t="s">
        <v>4</v>
      </c>
      <c r="F4" s="6" t="s">
        <v>5</v>
      </c>
      <c r="G4" s="6" t="s">
        <v>6</v>
      </c>
      <c r="H4" s="6" t="s">
        <v>7</v>
      </c>
      <c r="I4" s="1"/>
      <c r="J4" s="4"/>
    </row>
    <row r="5" spans="1:10" x14ac:dyDescent="0.3">
      <c r="A5" s="3">
        <v>1</v>
      </c>
      <c r="B5" s="3" t="s">
        <v>10</v>
      </c>
      <c r="C5" s="3" t="s">
        <v>11</v>
      </c>
      <c r="D5" s="1">
        <v>85</v>
      </c>
      <c r="E5" s="1">
        <v>91</v>
      </c>
      <c r="F5" s="1">
        <v>88</v>
      </c>
      <c r="G5" s="1">
        <v>95</v>
      </c>
      <c r="H5" s="1">
        <v>82</v>
      </c>
      <c r="I5" s="1"/>
      <c r="J5" s="4"/>
    </row>
    <row r="6" spans="1:10" x14ac:dyDescent="0.3">
      <c r="A6" s="3">
        <v>2</v>
      </c>
      <c r="B6" s="3" t="s">
        <v>12</v>
      </c>
      <c r="C6" s="3" t="s">
        <v>11</v>
      </c>
      <c r="D6" s="1">
        <v>78</v>
      </c>
      <c r="E6" s="1">
        <v>84</v>
      </c>
      <c r="F6" s="1">
        <v>90</v>
      </c>
      <c r="G6" s="1">
        <v>88</v>
      </c>
      <c r="H6" s="1">
        <v>76</v>
      </c>
      <c r="I6" s="1"/>
      <c r="J6" s="4"/>
    </row>
    <row r="7" spans="1:10" x14ac:dyDescent="0.3">
      <c r="A7" s="3">
        <v>3</v>
      </c>
      <c r="B7" s="3" t="s">
        <v>13</v>
      </c>
      <c r="C7" s="3" t="s">
        <v>11</v>
      </c>
      <c r="D7" s="1">
        <v>92</v>
      </c>
      <c r="E7" s="1">
        <v>89</v>
      </c>
      <c r="F7" s="1">
        <v>85</v>
      </c>
      <c r="G7" s="1">
        <v>94</v>
      </c>
      <c r="H7" s="1">
        <v>90</v>
      </c>
      <c r="I7" s="1"/>
      <c r="J7" s="4"/>
    </row>
    <row r="8" spans="1:10" x14ac:dyDescent="0.3">
      <c r="A8" s="3">
        <v>4</v>
      </c>
      <c r="B8" s="3" t="s">
        <v>14</v>
      </c>
      <c r="C8" s="3" t="s">
        <v>15</v>
      </c>
      <c r="D8" s="1">
        <v>74</v>
      </c>
      <c r="E8" s="1">
        <v>81</v>
      </c>
      <c r="F8" s="1">
        <v>79</v>
      </c>
      <c r="G8" s="1">
        <v>86</v>
      </c>
      <c r="H8" s="1">
        <v>83</v>
      </c>
      <c r="I8" s="1"/>
      <c r="J8" s="4"/>
    </row>
    <row r="9" spans="1:10" x14ac:dyDescent="0.3">
      <c r="A9" s="3">
        <v>5</v>
      </c>
      <c r="B9" s="3" t="s">
        <v>16</v>
      </c>
      <c r="C9" s="3" t="s">
        <v>67</v>
      </c>
      <c r="D9" s="1">
        <v>88</v>
      </c>
      <c r="E9" s="1">
        <v>93</v>
      </c>
      <c r="F9" s="1">
        <v>1</v>
      </c>
      <c r="G9" s="1">
        <v>89</v>
      </c>
      <c r="H9" s="1">
        <v>87</v>
      </c>
    </row>
  </sheetData>
  <mergeCells count="1">
    <mergeCell ref="B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914FA-4282-4B32-8816-054109DF3F72}">
  <dimension ref="A1:K9"/>
  <sheetViews>
    <sheetView tabSelected="1" workbookViewId="0">
      <selection activeCell="O18" sqref="O18"/>
    </sheetView>
  </sheetViews>
  <sheetFormatPr defaultRowHeight="14.4" x14ac:dyDescent="0.3"/>
  <sheetData>
    <row r="1" spans="1:11" x14ac:dyDescent="0.3">
      <c r="A1" s="7"/>
      <c r="B1" s="7"/>
      <c r="C1" s="7"/>
      <c r="D1" s="7"/>
      <c r="E1" s="7"/>
      <c r="F1" s="10" t="s">
        <v>19</v>
      </c>
      <c r="G1" s="7"/>
      <c r="H1" s="7"/>
      <c r="I1" s="7"/>
      <c r="J1" s="7"/>
      <c r="K1" s="7"/>
    </row>
    <row r="2" spans="1:11" x14ac:dyDescent="0.3">
      <c r="A2" s="9" t="s">
        <v>21</v>
      </c>
      <c r="B2" s="8"/>
      <c r="C2" s="8"/>
      <c r="D2" s="8"/>
      <c r="E2" s="8"/>
      <c r="F2" s="8"/>
      <c r="G2" s="8"/>
      <c r="H2" s="8"/>
      <c r="I2" s="8"/>
      <c r="J2" s="8"/>
      <c r="K2" s="8"/>
    </row>
    <row r="4" spans="1:11" ht="28.8" x14ac:dyDescent="0.3">
      <c r="A4" s="5" t="s">
        <v>0</v>
      </c>
      <c r="B4" s="5" t="s">
        <v>1</v>
      </c>
      <c r="C4" s="5" t="s">
        <v>2</v>
      </c>
      <c r="D4" s="6" t="s">
        <v>3</v>
      </c>
      <c r="E4" s="6" t="s">
        <v>4</v>
      </c>
      <c r="F4" s="6" t="s">
        <v>5</v>
      </c>
      <c r="G4" s="6" t="s">
        <v>6</v>
      </c>
      <c r="H4" s="6" t="s">
        <v>7</v>
      </c>
      <c r="I4" s="6" t="s">
        <v>8</v>
      </c>
      <c r="J4" s="6" t="s">
        <v>20</v>
      </c>
      <c r="K4" s="6" t="s">
        <v>9</v>
      </c>
    </row>
    <row r="5" spans="1:11" x14ac:dyDescent="0.3">
      <c r="A5" s="3">
        <v>1</v>
      </c>
      <c r="B5" s="3" t="s">
        <v>10</v>
      </c>
      <c r="C5" s="3" t="s">
        <v>11</v>
      </c>
      <c r="D5" s="1">
        <v>85</v>
      </c>
      <c r="E5" s="1">
        <v>91</v>
      </c>
      <c r="F5" s="1">
        <v>88</v>
      </c>
      <c r="G5" s="1">
        <v>95</v>
      </c>
      <c r="H5" s="1">
        <v>82</v>
      </c>
      <c r="I5">
        <f>SUM(D5:H5)</f>
        <v>441</v>
      </c>
      <c r="J5">
        <f>I5/5</f>
        <v>88.2</v>
      </c>
      <c r="K5">
        <f>(I5/500) *100</f>
        <v>88.2</v>
      </c>
    </row>
    <row r="6" spans="1:11" x14ac:dyDescent="0.3">
      <c r="A6" s="3">
        <v>2</v>
      </c>
      <c r="B6" s="3" t="s">
        <v>12</v>
      </c>
      <c r="C6" s="3" t="s">
        <v>11</v>
      </c>
      <c r="D6" s="1">
        <v>78</v>
      </c>
      <c r="E6" s="1">
        <v>84</v>
      </c>
      <c r="F6" s="1">
        <v>90</v>
      </c>
      <c r="G6" s="1">
        <v>88</v>
      </c>
      <c r="H6" s="1">
        <v>76</v>
      </c>
      <c r="I6">
        <f t="shared" ref="I6:I9" si="0">SUM(D6:H6)</f>
        <v>416</v>
      </c>
      <c r="J6">
        <f t="shared" ref="J6:J9" si="1">I6/5</f>
        <v>83.2</v>
      </c>
      <c r="K6">
        <f t="shared" ref="K6:K9" si="2">(I6/500) *100</f>
        <v>83.2</v>
      </c>
    </row>
    <row r="7" spans="1:11" x14ac:dyDescent="0.3">
      <c r="A7" s="3">
        <v>3</v>
      </c>
      <c r="B7" s="3" t="s">
        <v>13</v>
      </c>
      <c r="C7" s="3" t="s">
        <v>11</v>
      </c>
      <c r="D7" s="1">
        <v>92</v>
      </c>
      <c r="E7" s="1">
        <v>89</v>
      </c>
      <c r="F7" s="1">
        <v>85</v>
      </c>
      <c r="G7" s="1">
        <v>94</v>
      </c>
      <c r="H7" s="1">
        <v>90</v>
      </c>
      <c r="I7">
        <f t="shared" si="0"/>
        <v>450</v>
      </c>
      <c r="J7">
        <f t="shared" si="1"/>
        <v>90</v>
      </c>
      <c r="K7">
        <f t="shared" si="2"/>
        <v>90</v>
      </c>
    </row>
    <row r="8" spans="1:11" x14ac:dyDescent="0.3">
      <c r="A8" s="3">
        <v>4</v>
      </c>
      <c r="B8" s="3" t="s">
        <v>14</v>
      </c>
      <c r="C8" s="3" t="s">
        <v>15</v>
      </c>
      <c r="D8" s="1">
        <v>74</v>
      </c>
      <c r="E8" s="1">
        <v>81</v>
      </c>
      <c r="F8" s="1">
        <v>79</v>
      </c>
      <c r="G8" s="1">
        <v>86</v>
      </c>
      <c r="H8" s="1">
        <v>83</v>
      </c>
      <c r="I8">
        <f t="shared" si="0"/>
        <v>403</v>
      </c>
      <c r="J8">
        <f t="shared" si="1"/>
        <v>80.599999999999994</v>
      </c>
      <c r="K8">
        <f t="shared" si="2"/>
        <v>80.600000000000009</v>
      </c>
    </row>
    <row r="9" spans="1:11" x14ac:dyDescent="0.3">
      <c r="A9" s="3">
        <v>5</v>
      </c>
      <c r="B9" s="3" t="s">
        <v>16</v>
      </c>
      <c r="C9" s="3" t="s">
        <v>67</v>
      </c>
      <c r="D9" s="1">
        <v>88</v>
      </c>
      <c r="E9" s="1">
        <v>93</v>
      </c>
      <c r="F9" s="1">
        <v>1</v>
      </c>
      <c r="G9" s="1">
        <v>89</v>
      </c>
      <c r="H9" s="1">
        <v>87</v>
      </c>
      <c r="I9">
        <f t="shared" si="0"/>
        <v>358</v>
      </c>
      <c r="J9">
        <f t="shared" si="1"/>
        <v>71.599999999999994</v>
      </c>
      <c r="K9">
        <f t="shared" si="2"/>
        <v>71.599999999999994</v>
      </c>
    </row>
  </sheetData>
  <mergeCells count="1">
    <mergeCell ref="A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337B9-F0C0-4FD5-8210-6B2AC2383EEC}">
  <dimension ref="A1:K9"/>
  <sheetViews>
    <sheetView workbookViewId="0">
      <selection activeCell="C10" sqref="C10"/>
    </sheetView>
  </sheetViews>
  <sheetFormatPr defaultRowHeight="14.4" x14ac:dyDescent="0.3"/>
  <cols>
    <col min="1" max="2" width="11.77734375" customWidth="1"/>
    <col min="3" max="3" width="11.6640625" customWidth="1"/>
    <col min="4" max="4" width="13.88671875" customWidth="1"/>
    <col min="5" max="5" width="9.21875" customWidth="1"/>
    <col min="7" max="7" width="11.33203125" customWidth="1"/>
    <col min="8" max="8" width="14.5546875" customWidth="1"/>
    <col min="10" max="10" width="9.77734375" customWidth="1"/>
    <col min="11" max="11" width="12.33203125" customWidth="1"/>
  </cols>
  <sheetData>
    <row r="1" spans="1:11" x14ac:dyDescent="0.3">
      <c r="A1" s="7"/>
      <c r="B1" s="7"/>
      <c r="C1" s="7"/>
      <c r="D1" s="7"/>
      <c r="E1" s="7"/>
      <c r="F1" s="10" t="s">
        <v>22</v>
      </c>
      <c r="G1" s="7"/>
      <c r="H1" s="7"/>
      <c r="I1" s="7"/>
      <c r="J1" s="7"/>
      <c r="K1" s="7"/>
    </row>
    <row r="2" spans="1:11" x14ac:dyDescent="0.3">
      <c r="A2" s="9" t="s">
        <v>23</v>
      </c>
      <c r="B2" s="8"/>
      <c r="C2" s="8"/>
      <c r="D2" s="8"/>
      <c r="E2" s="8"/>
      <c r="F2" s="8"/>
      <c r="G2" s="8"/>
      <c r="H2" s="8"/>
      <c r="I2" s="8"/>
      <c r="J2" s="8"/>
      <c r="K2" s="8"/>
    </row>
    <row r="4" spans="1:11" ht="28.8" x14ac:dyDescent="0.3">
      <c r="A4" s="5" t="s">
        <v>0</v>
      </c>
      <c r="B4" s="5" t="s">
        <v>1</v>
      </c>
      <c r="C4" s="5" t="s">
        <v>2</v>
      </c>
      <c r="D4" s="6" t="s">
        <v>3</v>
      </c>
      <c r="E4" s="6" t="s">
        <v>4</v>
      </c>
      <c r="F4" s="6" t="s">
        <v>5</v>
      </c>
      <c r="G4" s="6" t="s">
        <v>6</v>
      </c>
      <c r="H4" s="6" t="s">
        <v>7</v>
      </c>
      <c r="I4" s="6" t="s">
        <v>8</v>
      </c>
      <c r="J4" s="6" t="s">
        <v>20</v>
      </c>
      <c r="K4" s="6" t="s">
        <v>9</v>
      </c>
    </row>
    <row r="5" spans="1:11" x14ac:dyDescent="0.3">
      <c r="A5" s="3">
        <v>1</v>
      </c>
      <c r="B5" s="3" t="s">
        <v>10</v>
      </c>
      <c r="C5" s="3" t="s">
        <v>11</v>
      </c>
      <c r="D5" s="1">
        <v>85</v>
      </c>
      <c r="E5" s="1">
        <v>91</v>
      </c>
      <c r="F5" s="1">
        <v>88</v>
      </c>
      <c r="G5" s="1">
        <v>95</v>
      </c>
      <c r="H5" s="1">
        <v>82</v>
      </c>
      <c r="I5">
        <f>SUM(D5:H5)</f>
        <v>441</v>
      </c>
      <c r="J5">
        <f>I5/5</f>
        <v>88.2</v>
      </c>
      <c r="K5">
        <f>(I5/500) *100</f>
        <v>88.2</v>
      </c>
    </row>
    <row r="6" spans="1:11" x14ac:dyDescent="0.3">
      <c r="A6" s="3">
        <v>2</v>
      </c>
      <c r="B6" s="3" t="s">
        <v>12</v>
      </c>
      <c r="C6" s="3" t="s">
        <v>11</v>
      </c>
      <c r="D6" s="1">
        <v>78</v>
      </c>
      <c r="E6" s="1">
        <v>84</v>
      </c>
      <c r="F6" s="1">
        <v>90</v>
      </c>
      <c r="G6" s="1">
        <v>88</v>
      </c>
      <c r="H6" s="1">
        <v>76</v>
      </c>
      <c r="I6">
        <f t="shared" ref="I6:I9" si="0">SUM(D6:H6)</f>
        <v>416</v>
      </c>
      <c r="J6">
        <f t="shared" ref="J6:J9" si="1">I6/5</f>
        <v>83.2</v>
      </c>
      <c r="K6">
        <f t="shared" ref="K6:K9" si="2">(I6/500) *100</f>
        <v>83.2</v>
      </c>
    </row>
    <row r="7" spans="1:11" x14ac:dyDescent="0.3">
      <c r="A7" s="3">
        <v>3</v>
      </c>
      <c r="B7" s="3" t="s">
        <v>13</v>
      </c>
      <c r="C7" s="3" t="s">
        <v>11</v>
      </c>
      <c r="D7" s="1">
        <v>92</v>
      </c>
      <c r="E7" s="1">
        <v>89</v>
      </c>
      <c r="F7" s="1">
        <v>85</v>
      </c>
      <c r="G7" s="1">
        <v>94</v>
      </c>
      <c r="H7" s="1">
        <v>90</v>
      </c>
      <c r="I7">
        <f t="shared" si="0"/>
        <v>450</v>
      </c>
      <c r="J7">
        <f t="shared" si="1"/>
        <v>90</v>
      </c>
      <c r="K7">
        <f t="shared" si="2"/>
        <v>90</v>
      </c>
    </row>
    <row r="8" spans="1:11" x14ac:dyDescent="0.3">
      <c r="A8" s="3">
        <v>4</v>
      </c>
      <c r="B8" s="3" t="s">
        <v>14</v>
      </c>
      <c r="C8" s="3" t="s">
        <v>15</v>
      </c>
      <c r="D8" s="1">
        <v>74</v>
      </c>
      <c r="E8" s="1">
        <v>81</v>
      </c>
      <c r="F8" s="1">
        <v>79</v>
      </c>
      <c r="G8" s="1">
        <v>86</v>
      </c>
      <c r="H8" s="1">
        <v>83</v>
      </c>
      <c r="I8">
        <f t="shared" si="0"/>
        <v>403</v>
      </c>
      <c r="J8">
        <f t="shared" si="1"/>
        <v>80.599999999999994</v>
      </c>
      <c r="K8">
        <f t="shared" si="2"/>
        <v>80.600000000000009</v>
      </c>
    </row>
    <row r="9" spans="1:11" x14ac:dyDescent="0.3">
      <c r="A9" s="3">
        <v>5</v>
      </c>
      <c r="B9" s="3" t="s">
        <v>16</v>
      </c>
      <c r="C9" s="3" t="s">
        <v>67</v>
      </c>
      <c r="D9" s="1">
        <v>88</v>
      </c>
      <c r="E9" s="1">
        <v>93</v>
      </c>
      <c r="F9" s="1">
        <v>1</v>
      </c>
      <c r="G9" s="1">
        <v>89</v>
      </c>
      <c r="H9" s="1">
        <v>87</v>
      </c>
      <c r="I9">
        <f t="shared" si="0"/>
        <v>358</v>
      </c>
      <c r="J9">
        <f t="shared" si="1"/>
        <v>71.599999999999994</v>
      </c>
      <c r="K9">
        <f t="shared" si="2"/>
        <v>71.599999999999994</v>
      </c>
    </row>
  </sheetData>
  <mergeCells count="1">
    <mergeCell ref="A2:K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B78A9-57ED-4228-8639-6016205AEDB9}">
  <dimension ref="A1:L9"/>
  <sheetViews>
    <sheetView workbookViewId="0">
      <selection activeCell="C10" sqref="C10"/>
    </sheetView>
  </sheetViews>
  <sheetFormatPr defaultRowHeight="14.4" x14ac:dyDescent="0.3"/>
  <sheetData>
    <row r="1" spans="1:12" x14ac:dyDescent="0.3">
      <c r="A1" s="7"/>
      <c r="B1" s="7"/>
      <c r="C1" s="7"/>
      <c r="D1" s="7"/>
      <c r="E1" s="7"/>
      <c r="F1" s="10" t="s">
        <v>26</v>
      </c>
      <c r="G1" s="7"/>
      <c r="H1" s="7"/>
      <c r="I1" s="7"/>
      <c r="J1" s="7"/>
      <c r="K1" s="7"/>
      <c r="L1" s="7"/>
    </row>
    <row r="2" spans="1:12" x14ac:dyDescent="0.3">
      <c r="A2" s="9" t="s">
        <v>25</v>
      </c>
      <c r="B2" s="8"/>
      <c r="C2" s="8"/>
      <c r="D2" s="8"/>
      <c r="E2" s="8"/>
      <c r="F2" s="8"/>
      <c r="G2" s="8"/>
      <c r="H2" s="8"/>
      <c r="I2" s="8"/>
      <c r="J2" s="8"/>
      <c r="K2" s="8"/>
    </row>
    <row r="4" spans="1:12" ht="28.8" x14ac:dyDescent="0.3">
      <c r="A4" s="5" t="s">
        <v>0</v>
      </c>
      <c r="B4" s="5" t="s">
        <v>1</v>
      </c>
      <c r="C4" s="5" t="s">
        <v>2</v>
      </c>
      <c r="D4" s="6" t="s">
        <v>3</v>
      </c>
      <c r="E4" s="6" t="s">
        <v>4</v>
      </c>
      <c r="F4" s="6" t="s">
        <v>5</v>
      </c>
      <c r="G4" s="6" t="s">
        <v>6</v>
      </c>
      <c r="H4" s="6" t="s">
        <v>7</v>
      </c>
      <c r="I4" s="6" t="s">
        <v>8</v>
      </c>
      <c r="J4" s="6" t="s">
        <v>20</v>
      </c>
      <c r="K4" s="6" t="s">
        <v>9</v>
      </c>
      <c r="L4" s="6" t="s">
        <v>24</v>
      </c>
    </row>
    <row r="5" spans="1:12" x14ac:dyDescent="0.3">
      <c r="A5" s="3">
        <v>1</v>
      </c>
      <c r="B5" s="3" t="s">
        <v>10</v>
      </c>
      <c r="C5" s="3" t="s">
        <v>11</v>
      </c>
      <c r="D5" s="1">
        <v>85</v>
      </c>
      <c r="E5" s="1">
        <v>91</v>
      </c>
      <c r="F5" s="1">
        <v>88</v>
      </c>
      <c r="G5" s="1">
        <v>95</v>
      </c>
      <c r="H5" s="1">
        <v>82</v>
      </c>
      <c r="I5">
        <f>SUM(D5:H5)</f>
        <v>441</v>
      </c>
      <c r="J5">
        <f>I5/5</f>
        <v>88.2</v>
      </c>
      <c r="K5">
        <f>(I5/500) *100</f>
        <v>88.2</v>
      </c>
      <c r="L5" t="str">
        <f>IF(SUMIF(Table13[[#This Row],[Mathematics]]:Table13[[#This Row],[Social Science]],"&gt;=50",Table13[[#This Row],[Mathematics]]:Table13[[#This Row],[Social Science]])=SUM(Table13[[#This Row],[Mathematics]]:Table13[[#This Row],[Social Science]]),"Pass","Fail")</f>
        <v>Pass</v>
      </c>
    </row>
    <row r="6" spans="1:12" x14ac:dyDescent="0.3">
      <c r="A6" s="3">
        <v>2</v>
      </c>
      <c r="B6" s="3" t="s">
        <v>12</v>
      </c>
      <c r="C6" s="3" t="s">
        <v>11</v>
      </c>
      <c r="D6" s="1">
        <v>78</v>
      </c>
      <c r="E6" s="1">
        <v>84</v>
      </c>
      <c r="F6" s="1">
        <v>90</v>
      </c>
      <c r="G6" s="1">
        <v>88</v>
      </c>
      <c r="H6" s="1">
        <v>76</v>
      </c>
      <c r="I6">
        <f t="shared" ref="I6:I9" si="0">SUM(D6:H6)</f>
        <v>416</v>
      </c>
      <c r="J6">
        <f t="shared" ref="J6:J9" si="1">I6/5</f>
        <v>83.2</v>
      </c>
      <c r="K6">
        <f t="shared" ref="K6:K9" si="2">(I6/500) *100</f>
        <v>83.2</v>
      </c>
      <c r="L6" t="str">
        <f>IF(SUMIF(Table13[[#This Row],[Mathematics]]:Table13[[#This Row],[Social Science]],"&gt;=50",Table13[[#This Row],[Mathematics]]:Table13[[#This Row],[Social Science]])=SUM(Table13[[#This Row],[Mathematics]]:Table13[[#This Row],[Social Science]]),"Pass","Fail")</f>
        <v>Pass</v>
      </c>
    </row>
    <row r="7" spans="1:12" x14ac:dyDescent="0.3">
      <c r="A7" s="3">
        <v>3</v>
      </c>
      <c r="B7" s="3" t="s">
        <v>13</v>
      </c>
      <c r="C7" s="3" t="s">
        <v>11</v>
      </c>
      <c r="D7" s="1">
        <v>92</v>
      </c>
      <c r="E7" s="1">
        <v>89</v>
      </c>
      <c r="F7" s="1">
        <v>85</v>
      </c>
      <c r="G7" s="1">
        <v>94</v>
      </c>
      <c r="H7" s="1">
        <v>90</v>
      </c>
      <c r="I7">
        <f t="shared" si="0"/>
        <v>450</v>
      </c>
      <c r="J7">
        <f t="shared" si="1"/>
        <v>90</v>
      </c>
      <c r="K7">
        <f t="shared" si="2"/>
        <v>90</v>
      </c>
      <c r="L7" t="str">
        <f>IF(SUMIF(Table13[[#This Row],[Mathematics]]:Table13[[#This Row],[Social Science]],"&gt;=50",Table13[[#This Row],[Mathematics]]:Table13[[#This Row],[Social Science]])=SUM(Table13[[#This Row],[Mathematics]]:Table13[[#This Row],[Social Science]]),"Pass","Fail")</f>
        <v>Pass</v>
      </c>
    </row>
    <row r="8" spans="1:12" x14ac:dyDescent="0.3">
      <c r="A8" s="3">
        <v>4</v>
      </c>
      <c r="B8" s="3" t="s">
        <v>14</v>
      </c>
      <c r="C8" s="3" t="s">
        <v>15</v>
      </c>
      <c r="D8" s="1">
        <v>74</v>
      </c>
      <c r="E8" s="1">
        <v>81</v>
      </c>
      <c r="F8" s="1">
        <v>79</v>
      </c>
      <c r="G8" s="1">
        <v>86</v>
      </c>
      <c r="H8" s="1">
        <v>83</v>
      </c>
      <c r="I8">
        <f t="shared" si="0"/>
        <v>403</v>
      </c>
      <c r="J8">
        <f t="shared" si="1"/>
        <v>80.599999999999994</v>
      </c>
      <c r="K8">
        <f t="shared" si="2"/>
        <v>80.600000000000009</v>
      </c>
      <c r="L8" t="str">
        <f>IF(SUMIF(Table13[[#This Row],[Mathematics]]:Table13[[#This Row],[Social Science]],"&gt;=50",Table13[[#This Row],[Mathematics]]:Table13[[#This Row],[Social Science]])=SUM(Table13[[#This Row],[Mathematics]]:Table13[[#This Row],[Social Science]]),"Pass","Fail")</f>
        <v>Pass</v>
      </c>
    </row>
    <row r="9" spans="1:12" x14ac:dyDescent="0.3">
      <c r="A9" s="3">
        <v>5</v>
      </c>
      <c r="B9" s="3" t="s">
        <v>16</v>
      </c>
      <c r="C9" s="3" t="s">
        <v>67</v>
      </c>
      <c r="D9" s="1">
        <v>88</v>
      </c>
      <c r="E9" s="1">
        <v>93</v>
      </c>
      <c r="F9" s="1">
        <v>1</v>
      </c>
      <c r="G9" s="1">
        <v>89</v>
      </c>
      <c r="H9" s="1">
        <v>87</v>
      </c>
      <c r="I9">
        <f t="shared" si="0"/>
        <v>358</v>
      </c>
      <c r="J9">
        <f t="shared" si="1"/>
        <v>71.599999999999994</v>
      </c>
      <c r="K9">
        <f t="shared" si="2"/>
        <v>71.599999999999994</v>
      </c>
      <c r="L9" t="str">
        <f>IF(SUMIF(Table13[[#This Row],[Mathematics]]:Table13[[#This Row],[Social Science]],"&gt;=50",Table13[[#This Row],[Mathematics]]:Table13[[#This Row],[Social Science]])=SUM(Table13[[#This Row],[Mathematics]]:Table13[[#This Row],[Social Science]]),"Pass","Fail")</f>
        <v>Fail</v>
      </c>
    </row>
  </sheetData>
  <mergeCells count="1">
    <mergeCell ref="A2:K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8F859-0EFE-4194-9D0B-4F700E4D0E0E}">
  <dimension ref="A1:M15"/>
  <sheetViews>
    <sheetView workbookViewId="0">
      <selection activeCell="C10" sqref="C10"/>
    </sheetView>
  </sheetViews>
  <sheetFormatPr defaultRowHeight="14.4" x14ac:dyDescent="0.3"/>
  <cols>
    <col min="2" max="2" width="12.6640625" bestFit="1" customWidth="1"/>
    <col min="5" max="5" width="11.5546875" bestFit="1" customWidth="1"/>
    <col min="6" max="6" width="17.6640625" bestFit="1" customWidth="1"/>
  </cols>
  <sheetData>
    <row r="1" spans="1:13" x14ac:dyDescent="0.3">
      <c r="A1" s="7"/>
      <c r="B1" s="7"/>
      <c r="C1" s="7"/>
      <c r="D1" s="7"/>
      <c r="E1" s="7"/>
      <c r="F1" s="10" t="s">
        <v>30</v>
      </c>
      <c r="G1" s="7"/>
      <c r="H1" s="7"/>
      <c r="I1" s="7"/>
      <c r="J1" s="7"/>
      <c r="K1" s="7"/>
      <c r="L1" s="7"/>
      <c r="M1" s="7"/>
    </row>
    <row r="2" spans="1:13" x14ac:dyDescent="0.3">
      <c r="A2" s="9" t="s">
        <v>27</v>
      </c>
      <c r="B2" s="9"/>
      <c r="C2" s="9"/>
      <c r="D2" s="9"/>
      <c r="E2" s="9"/>
      <c r="F2" s="9"/>
      <c r="G2" s="9"/>
      <c r="H2" s="9"/>
      <c r="I2" s="9"/>
      <c r="J2" s="9"/>
      <c r="K2" s="9"/>
      <c r="L2" s="9"/>
      <c r="M2" s="9"/>
    </row>
    <row r="4" spans="1:13" ht="57.6" x14ac:dyDescent="0.3">
      <c r="A4" s="5" t="s">
        <v>0</v>
      </c>
      <c r="B4" s="5" t="s">
        <v>1</v>
      </c>
      <c r="C4" s="5" t="s">
        <v>2</v>
      </c>
      <c r="D4" s="6" t="s">
        <v>3</v>
      </c>
      <c r="E4" s="6" t="s">
        <v>4</v>
      </c>
      <c r="F4" s="6" t="s">
        <v>5</v>
      </c>
      <c r="G4" s="6" t="s">
        <v>6</v>
      </c>
      <c r="H4" s="6" t="s">
        <v>7</v>
      </c>
      <c r="I4" s="6" t="s">
        <v>8</v>
      </c>
      <c r="J4" s="6" t="s">
        <v>20</v>
      </c>
      <c r="K4" s="6" t="s">
        <v>9</v>
      </c>
      <c r="L4" s="6" t="s">
        <v>24</v>
      </c>
      <c r="M4" s="6" t="s">
        <v>29</v>
      </c>
    </row>
    <row r="5" spans="1:13" x14ac:dyDescent="0.3">
      <c r="A5" s="3">
        <v>1</v>
      </c>
      <c r="B5" s="3" t="s">
        <v>10</v>
      </c>
      <c r="C5" s="3" t="s">
        <v>11</v>
      </c>
      <c r="D5" s="1">
        <v>85</v>
      </c>
      <c r="E5" s="1">
        <v>91</v>
      </c>
      <c r="F5" s="1">
        <v>88</v>
      </c>
      <c r="G5" s="1">
        <v>95</v>
      </c>
      <c r="H5" s="1">
        <v>82</v>
      </c>
      <c r="I5">
        <f>SUM(D5:H5)</f>
        <v>441</v>
      </c>
      <c r="J5">
        <f>I5/5</f>
        <v>88.2</v>
      </c>
      <c r="K5">
        <f>(I5/500) *100</f>
        <v>88.2</v>
      </c>
      <c r="L5" t="str">
        <f>IF(SUMIF(Table134[[#This Row],[Mathematics]]:Table134[[#This Row],[Social Science]],"&gt;=50",Table134[[#This Row],[Mathematics]]:Table134[[#This Row],[Social Science]])=SUM(Table134[[#This Row],[Mathematics]]:Table134[[#This Row],[Social Science]]),"Pass","Fail")</f>
        <v>Pass</v>
      </c>
      <c r="M5">
        <f>COUNTA(Table134[[#This Row],[Mathematics]]:Table134[[#This Row],[Social Science]])</f>
        <v>5</v>
      </c>
    </row>
    <row r="6" spans="1:13" x14ac:dyDescent="0.3">
      <c r="A6" s="3">
        <v>2</v>
      </c>
      <c r="B6" s="3" t="s">
        <v>12</v>
      </c>
      <c r="C6" s="3" t="s">
        <v>11</v>
      </c>
      <c r="D6" s="1">
        <v>78</v>
      </c>
      <c r="E6" s="1">
        <v>84</v>
      </c>
      <c r="F6" s="1">
        <v>90</v>
      </c>
      <c r="G6" s="1">
        <v>88</v>
      </c>
      <c r="H6" s="1">
        <v>76</v>
      </c>
      <c r="I6">
        <f t="shared" ref="I6:I9" si="0">SUM(D6:H6)</f>
        <v>416</v>
      </c>
      <c r="J6">
        <f t="shared" ref="J6:J9" si="1">I6/5</f>
        <v>83.2</v>
      </c>
      <c r="K6">
        <f t="shared" ref="K6:K9" si="2">(I6/500) *100</f>
        <v>83.2</v>
      </c>
      <c r="L6" t="str">
        <f>IF(SUMIF(Table134[[#This Row],[Mathematics]]:Table134[[#This Row],[Social Science]],"&gt;=50",Table134[[#This Row],[Mathematics]]:Table134[[#This Row],[Social Science]])=SUM(Table134[[#This Row],[Mathematics]]:Table134[[#This Row],[Social Science]]),"Pass","Fail")</f>
        <v>Pass</v>
      </c>
      <c r="M6">
        <f>COUNTA(Table134[[#This Row],[Mathematics]]:Table134[[#This Row],[Social Science]])</f>
        <v>5</v>
      </c>
    </row>
    <row r="7" spans="1:13" x14ac:dyDescent="0.3">
      <c r="A7" s="3">
        <v>3</v>
      </c>
      <c r="B7" s="3" t="s">
        <v>13</v>
      </c>
      <c r="C7" s="3" t="s">
        <v>11</v>
      </c>
      <c r="D7" s="1">
        <v>92</v>
      </c>
      <c r="E7" s="1">
        <v>89</v>
      </c>
      <c r="F7" s="1">
        <v>85</v>
      </c>
      <c r="G7" s="1">
        <v>94</v>
      </c>
      <c r="H7" s="1">
        <v>90</v>
      </c>
      <c r="I7">
        <f t="shared" si="0"/>
        <v>450</v>
      </c>
      <c r="J7">
        <f t="shared" si="1"/>
        <v>90</v>
      </c>
      <c r="K7">
        <f t="shared" si="2"/>
        <v>90</v>
      </c>
      <c r="L7" t="str">
        <f>IF(SUMIF(Table134[[#This Row],[Mathematics]]:Table134[[#This Row],[Social Science]],"&gt;=50",Table134[[#This Row],[Mathematics]]:Table134[[#This Row],[Social Science]])=SUM(Table134[[#This Row],[Mathematics]]:Table134[[#This Row],[Social Science]]),"Pass","Fail")</f>
        <v>Pass</v>
      </c>
      <c r="M7">
        <f>COUNTA(Table134[[#This Row],[Mathematics]]:Table134[[#This Row],[Social Science]])</f>
        <v>5</v>
      </c>
    </row>
    <row r="8" spans="1:13" x14ac:dyDescent="0.3">
      <c r="A8" s="3">
        <v>4</v>
      </c>
      <c r="B8" s="3" t="s">
        <v>14</v>
      </c>
      <c r="C8" s="3" t="s">
        <v>15</v>
      </c>
      <c r="D8" s="1">
        <v>74</v>
      </c>
      <c r="E8" s="1"/>
      <c r="F8" s="1">
        <v>79</v>
      </c>
      <c r="G8" s="1">
        <v>86</v>
      </c>
      <c r="H8" s="1">
        <v>83</v>
      </c>
      <c r="I8">
        <f t="shared" si="0"/>
        <v>322</v>
      </c>
      <c r="J8">
        <f t="shared" si="1"/>
        <v>64.400000000000006</v>
      </c>
      <c r="K8">
        <f t="shared" si="2"/>
        <v>64.400000000000006</v>
      </c>
      <c r="L8" t="str">
        <f>IF(SUMIF(Table134[[#This Row],[Mathematics]]:Table134[[#This Row],[Social Science]],"&gt;=50",Table134[[#This Row],[Mathematics]]:Table134[[#This Row],[Social Science]])=SUM(Table134[[#This Row],[Mathematics]]:Table134[[#This Row],[Social Science]]),"Pass","Fail")</f>
        <v>Pass</v>
      </c>
      <c r="M8">
        <f>COUNTA(Table134[[#This Row],[Mathematics]]:Table134[[#This Row],[Social Science]])</f>
        <v>4</v>
      </c>
    </row>
    <row r="9" spans="1:13" x14ac:dyDescent="0.3">
      <c r="A9" s="3">
        <v>5</v>
      </c>
      <c r="B9" s="3" t="s">
        <v>16</v>
      </c>
      <c r="C9" s="3" t="s">
        <v>67</v>
      </c>
      <c r="D9" s="1">
        <v>88</v>
      </c>
      <c r="E9" s="1">
        <v>93</v>
      </c>
      <c r="F9" s="1">
        <v>1</v>
      </c>
      <c r="G9" s="1">
        <v>89</v>
      </c>
      <c r="H9" s="1">
        <v>87</v>
      </c>
      <c r="I9">
        <f t="shared" si="0"/>
        <v>358</v>
      </c>
      <c r="J9">
        <f t="shared" si="1"/>
        <v>71.599999999999994</v>
      </c>
      <c r="K9">
        <f t="shared" si="2"/>
        <v>71.599999999999994</v>
      </c>
      <c r="L9" t="str">
        <f>IF(SUMIF(Table134[[#This Row],[Mathematics]]:Table134[[#This Row],[Social Science]],"&gt;=50",Table134[[#This Row],[Mathematics]]:Table134[[#This Row],[Social Science]])=SUM(Table134[[#This Row],[Mathematics]]:Table134[[#This Row],[Social Science]]),"Pass","Fail")</f>
        <v>Fail</v>
      </c>
      <c r="M9">
        <f>COUNTA(Table134[[#This Row],[Mathematics]]:Table134[[#This Row],[Social Science]])</f>
        <v>5</v>
      </c>
    </row>
    <row r="11" spans="1:13" x14ac:dyDescent="0.3">
      <c r="F11" s="12" t="s">
        <v>28</v>
      </c>
      <c r="G11">
        <f>COUNT(D5:H5)</f>
        <v>5</v>
      </c>
    </row>
    <row r="13" spans="1:13" x14ac:dyDescent="0.3">
      <c r="F13" s="12" t="s">
        <v>31</v>
      </c>
      <c r="G13">
        <f>COUNTIF(Table134[Is_Fail],"Pass")</f>
        <v>4</v>
      </c>
    </row>
    <row r="15" spans="1:13" x14ac:dyDescent="0.3">
      <c r="F15" s="12" t="s">
        <v>31</v>
      </c>
      <c r="G15">
        <f>COUNTIF(Table134[Is_Fail],"Fail")</f>
        <v>1</v>
      </c>
    </row>
  </sheetData>
  <mergeCells count="1">
    <mergeCell ref="A2:M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9A6DE-F8C0-4860-9346-9538B40461EB}">
  <dimension ref="A1:M5"/>
  <sheetViews>
    <sheetView workbookViewId="0">
      <selection activeCell="F19" sqref="F19"/>
    </sheetView>
  </sheetViews>
  <sheetFormatPr defaultRowHeight="14.4" x14ac:dyDescent="0.3"/>
  <cols>
    <col min="1" max="1" width="10.33203125" bestFit="1" customWidth="1"/>
    <col min="2" max="2" width="17.33203125" customWidth="1"/>
    <col min="3" max="3" width="20.88671875" customWidth="1"/>
  </cols>
  <sheetData>
    <row r="1" spans="1:13" x14ac:dyDescent="0.3">
      <c r="A1" s="7"/>
      <c r="B1" s="7"/>
      <c r="C1" s="7"/>
      <c r="D1" s="7"/>
      <c r="E1" s="7"/>
      <c r="F1" s="10" t="s">
        <v>32</v>
      </c>
      <c r="G1" s="7"/>
      <c r="H1" s="7"/>
      <c r="I1" s="7"/>
      <c r="J1" s="7"/>
      <c r="K1" s="7"/>
      <c r="L1" s="7"/>
      <c r="M1" s="7"/>
    </row>
    <row r="2" spans="1:13" x14ac:dyDescent="0.3">
      <c r="A2" s="9" t="s">
        <v>33</v>
      </c>
      <c r="B2" s="9"/>
      <c r="C2" s="9"/>
      <c r="D2" s="9"/>
      <c r="E2" s="9"/>
      <c r="F2" s="9"/>
      <c r="G2" s="9"/>
      <c r="H2" s="9"/>
      <c r="I2" s="9"/>
      <c r="J2" s="9"/>
      <c r="K2" s="9"/>
      <c r="L2" s="9"/>
      <c r="M2" s="9"/>
    </row>
    <row r="4" spans="1:13" x14ac:dyDescent="0.3">
      <c r="A4" t="s">
        <v>35</v>
      </c>
      <c r="B4" t="s">
        <v>34</v>
      </c>
      <c r="C4" t="s">
        <v>36</v>
      </c>
    </row>
    <row r="5" spans="1:13" x14ac:dyDescent="0.3">
      <c r="A5" s="13">
        <f ca="1">TODAY()</f>
        <v>46286</v>
      </c>
      <c r="B5">
        <f ca="1">RANDBETWEEN(DATE(2004,11,6),A5)</f>
        <v>40315</v>
      </c>
      <c r="C5" s="14">
        <f ca="1">NOW()</f>
        <v>46286.849501851852</v>
      </c>
    </row>
  </sheetData>
  <mergeCells count="1">
    <mergeCell ref="A2:M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56586-52A2-44E1-A7C3-B9634C25FD7F}">
  <dimension ref="A1:M17"/>
  <sheetViews>
    <sheetView workbookViewId="0">
      <selection activeCell="C10" sqref="C10"/>
    </sheetView>
  </sheetViews>
  <sheetFormatPr defaultRowHeight="14.4" x14ac:dyDescent="0.3"/>
  <cols>
    <col min="6" max="6" width="27.5546875" bestFit="1" customWidth="1"/>
    <col min="13" max="13" width="7.77734375" bestFit="1" customWidth="1"/>
  </cols>
  <sheetData>
    <row r="1" spans="1:13" x14ac:dyDescent="0.3">
      <c r="A1" s="7"/>
      <c r="B1" s="7"/>
      <c r="C1" s="7"/>
      <c r="D1" s="7"/>
      <c r="E1" s="7"/>
      <c r="F1" s="10" t="s">
        <v>37</v>
      </c>
      <c r="G1" s="7"/>
      <c r="H1" s="7"/>
      <c r="I1" s="7"/>
      <c r="J1" s="7"/>
      <c r="K1" s="7"/>
      <c r="L1" s="7"/>
      <c r="M1" s="7"/>
    </row>
    <row r="2" spans="1:13" x14ac:dyDescent="0.3">
      <c r="A2" s="9" t="s">
        <v>38</v>
      </c>
      <c r="B2" s="9"/>
      <c r="C2" s="9"/>
      <c r="D2" s="9"/>
      <c r="E2" s="9"/>
      <c r="F2" s="9"/>
      <c r="G2" s="9"/>
      <c r="H2" s="9"/>
      <c r="I2" s="9"/>
      <c r="J2" s="9"/>
      <c r="K2" s="9"/>
      <c r="L2" s="9"/>
      <c r="M2" s="9"/>
    </row>
    <row r="4" spans="1:13" ht="57.6" x14ac:dyDescent="0.3">
      <c r="A4" s="5" t="s">
        <v>0</v>
      </c>
      <c r="B4" s="5" t="s">
        <v>1</v>
      </c>
      <c r="C4" s="5" t="s">
        <v>2</v>
      </c>
      <c r="D4" s="6" t="s">
        <v>3</v>
      </c>
      <c r="E4" s="6" t="s">
        <v>4</v>
      </c>
      <c r="F4" s="6" t="s">
        <v>5</v>
      </c>
      <c r="G4" s="6" t="s">
        <v>6</v>
      </c>
      <c r="H4" s="6" t="s">
        <v>7</v>
      </c>
      <c r="I4" s="6" t="s">
        <v>8</v>
      </c>
      <c r="J4" s="6" t="s">
        <v>20</v>
      </c>
      <c r="K4" s="6" t="s">
        <v>9</v>
      </c>
      <c r="L4" s="6" t="s">
        <v>24</v>
      </c>
      <c r="M4" s="6" t="s">
        <v>29</v>
      </c>
    </row>
    <row r="5" spans="1:13" x14ac:dyDescent="0.3">
      <c r="A5" s="3">
        <v>1</v>
      </c>
      <c r="B5" s="3" t="s">
        <v>10</v>
      </c>
      <c r="C5" s="3" t="s">
        <v>11</v>
      </c>
      <c r="D5" s="1">
        <v>85</v>
      </c>
      <c r="E5" s="1">
        <v>91</v>
      </c>
      <c r="F5" s="1">
        <v>88</v>
      </c>
      <c r="G5" s="1">
        <v>95</v>
      </c>
      <c r="H5" s="1">
        <v>82</v>
      </c>
      <c r="I5">
        <f>SUM(D5:H5)</f>
        <v>441</v>
      </c>
      <c r="J5">
        <f>I5/5</f>
        <v>88.2</v>
      </c>
      <c r="K5">
        <f>(I5/500) *100</f>
        <v>88.2</v>
      </c>
      <c r="L5" t="str">
        <f>IF(SUMIF(Table1346[[#This Row],[Mathematics]]:Table1346[[#This Row],[Social Science]],"&gt;=50",Table1346[[#This Row],[Mathematics]]:Table1346[[#This Row],[Social Science]])=SUM(Table1346[[#This Row],[Mathematics]]:Table1346[[#This Row],[Social Science]]),"Pass","Fail")</f>
        <v>Pass</v>
      </c>
      <c r="M5">
        <f>COUNTA(Table1346[[#This Row],[Mathematics]]:Table1346[[#This Row],[Social Science]])</f>
        <v>5</v>
      </c>
    </row>
    <row r="6" spans="1:13" x14ac:dyDescent="0.3">
      <c r="A6" s="3">
        <v>2</v>
      </c>
      <c r="B6" s="3" t="s">
        <v>12</v>
      </c>
      <c r="C6" s="3" t="s">
        <v>11</v>
      </c>
      <c r="D6" s="1">
        <v>78</v>
      </c>
      <c r="E6" s="1">
        <v>84</v>
      </c>
      <c r="F6" s="1">
        <v>90</v>
      </c>
      <c r="G6" s="1">
        <v>88</v>
      </c>
      <c r="H6" s="1">
        <v>76</v>
      </c>
      <c r="I6">
        <f t="shared" ref="I6:I9" si="0">SUM(D6:H6)</f>
        <v>416</v>
      </c>
      <c r="J6">
        <f t="shared" ref="J6:J9" si="1">I6/5</f>
        <v>83.2</v>
      </c>
      <c r="K6">
        <f t="shared" ref="K6:K9" si="2">(I6/500) *100</f>
        <v>83.2</v>
      </c>
      <c r="L6" t="str">
        <f>IF(SUMIF(Table1346[[#This Row],[Mathematics]]:Table1346[[#This Row],[Social Science]],"&gt;=50",Table1346[[#This Row],[Mathematics]]:Table1346[[#This Row],[Social Science]])=SUM(Table1346[[#This Row],[Mathematics]]:Table1346[[#This Row],[Social Science]]),"Pass","Fail")</f>
        <v>Pass</v>
      </c>
      <c r="M6">
        <f>COUNTA(Table1346[[#This Row],[Mathematics]]:Table1346[[#This Row],[Social Science]])</f>
        <v>5</v>
      </c>
    </row>
    <row r="7" spans="1:13" x14ac:dyDescent="0.3">
      <c r="A7" s="3">
        <v>3</v>
      </c>
      <c r="B7" s="3" t="s">
        <v>13</v>
      </c>
      <c r="C7" s="3" t="s">
        <v>11</v>
      </c>
      <c r="D7" s="1">
        <v>92</v>
      </c>
      <c r="E7" s="1">
        <v>89</v>
      </c>
      <c r="F7" s="1">
        <v>85</v>
      </c>
      <c r="G7" s="1">
        <v>94</v>
      </c>
      <c r="H7" s="1">
        <v>90</v>
      </c>
      <c r="I7">
        <f t="shared" si="0"/>
        <v>450</v>
      </c>
      <c r="J7">
        <f t="shared" si="1"/>
        <v>90</v>
      </c>
      <c r="K7">
        <f t="shared" si="2"/>
        <v>90</v>
      </c>
      <c r="L7" t="str">
        <f>IF(SUMIF(Table1346[[#This Row],[Mathematics]]:Table1346[[#This Row],[Social Science]],"&gt;=50",Table1346[[#This Row],[Mathematics]]:Table1346[[#This Row],[Social Science]])=SUM(Table1346[[#This Row],[Mathematics]]:Table1346[[#This Row],[Social Science]]),"Pass","Fail")</f>
        <v>Pass</v>
      </c>
      <c r="M7">
        <f>COUNTA(Table1346[[#This Row],[Mathematics]]:Table1346[[#This Row],[Social Science]])</f>
        <v>5</v>
      </c>
    </row>
    <row r="8" spans="1:13" x14ac:dyDescent="0.3">
      <c r="A8" s="3">
        <v>4</v>
      </c>
      <c r="B8" s="3" t="s">
        <v>14</v>
      </c>
      <c r="C8" s="3" t="s">
        <v>15</v>
      </c>
      <c r="D8" s="1">
        <v>74</v>
      </c>
      <c r="E8" s="1"/>
      <c r="F8" s="1">
        <v>79</v>
      </c>
      <c r="G8" s="1">
        <v>86</v>
      </c>
      <c r="H8" s="1">
        <v>83</v>
      </c>
      <c r="I8">
        <f t="shared" si="0"/>
        <v>322</v>
      </c>
      <c r="J8">
        <f t="shared" si="1"/>
        <v>64.400000000000006</v>
      </c>
      <c r="K8">
        <f t="shared" si="2"/>
        <v>64.400000000000006</v>
      </c>
      <c r="L8" t="str">
        <f>IF(SUMIF(Table1346[[#This Row],[Mathematics]]:Table1346[[#This Row],[Social Science]],"&gt;=50",Table1346[[#This Row],[Mathematics]]:Table1346[[#This Row],[Social Science]])=SUM(Table1346[[#This Row],[Mathematics]]:Table1346[[#This Row],[Social Science]]),"Pass","Fail")</f>
        <v>Pass</v>
      </c>
      <c r="M8">
        <f>COUNTA(Table1346[[#This Row],[Mathematics]]:Table1346[[#This Row],[Social Science]])</f>
        <v>4</v>
      </c>
    </row>
    <row r="9" spans="1:13" x14ac:dyDescent="0.3">
      <c r="A9" s="3">
        <v>5</v>
      </c>
      <c r="B9" s="3" t="s">
        <v>16</v>
      </c>
      <c r="C9" s="3" t="s">
        <v>67</v>
      </c>
      <c r="D9" s="1">
        <v>88</v>
      </c>
      <c r="E9" s="1">
        <v>93</v>
      </c>
      <c r="F9" s="1">
        <v>1</v>
      </c>
      <c r="G9" s="1">
        <v>89</v>
      </c>
      <c r="H9" s="1">
        <v>87</v>
      </c>
      <c r="I9">
        <f t="shared" si="0"/>
        <v>358</v>
      </c>
      <c r="J9">
        <f t="shared" si="1"/>
        <v>71.599999999999994</v>
      </c>
      <c r="K9">
        <f t="shared" si="2"/>
        <v>71.599999999999994</v>
      </c>
      <c r="L9" t="str">
        <f>IF(SUMIF(Table1346[[#This Row],[Mathematics]]:Table1346[[#This Row],[Social Science]],"&gt;=50",Table1346[[#This Row],[Mathematics]]:Table1346[[#This Row],[Social Science]])=SUM(Table1346[[#This Row],[Mathematics]]:Table1346[[#This Row],[Social Science]]),"Pass","Fail")</f>
        <v>Fail</v>
      </c>
      <c r="M9">
        <f>COUNTA(Table1346[[#This Row],[Mathematics]]:Table1346[[#This Row],[Social Science]])</f>
        <v>5</v>
      </c>
    </row>
    <row r="11" spans="1:13" x14ac:dyDescent="0.3">
      <c r="F11" s="12" t="s">
        <v>28</v>
      </c>
      <c r="G11">
        <f>COUNT(D5:H5)</f>
        <v>5</v>
      </c>
    </row>
    <row r="13" spans="1:13" x14ac:dyDescent="0.3">
      <c r="F13" s="12" t="s">
        <v>31</v>
      </c>
      <c r="G13">
        <f>COUNTIF(Table1346[Is_Fail],"Pass")</f>
        <v>4</v>
      </c>
    </row>
    <row r="15" spans="1:13" x14ac:dyDescent="0.3">
      <c r="F15" s="12" t="s">
        <v>31</v>
      </c>
      <c r="G15">
        <f>COUNTIF(Table1346[Is_Fail],"Fail")</f>
        <v>1</v>
      </c>
    </row>
    <row r="17" spans="6:7" x14ac:dyDescent="0.3">
      <c r="F17" s="12" t="s">
        <v>39</v>
      </c>
      <c r="G17">
        <f>VLOOKUP(A5,Table1346[#All],6,FALSE)</f>
        <v>88</v>
      </c>
    </row>
  </sheetData>
  <mergeCells count="1">
    <mergeCell ref="A2:M2"/>
  </mergeCells>
  <conditionalFormatting sqref="L5:L9">
    <cfRule type="containsText" dxfId="23" priority="1" operator="containsText" text="Pass">
      <formula>NOT(ISERROR(SEARCH("Pass",L5)))</formula>
    </cfRule>
    <cfRule type="containsText" dxfId="22" priority="2" operator="containsText" text="Fail">
      <formula>NOT(ISERROR(SEARCH("Fail",L5)))</formula>
    </cfRule>
    <cfRule type="containsText" dxfId="21" priority="3" operator="containsText" text="Fail">
      <formula>NOT(ISERROR(SEARCH("Fail",L5)))</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EE55E-8010-495E-B825-7FAEB1DD9E45}">
  <dimension ref="A1:P17"/>
  <sheetViews>
    <sheetView workbookViewId="0">
      <selection activeCell="C10" sqref="C10"/>
    </sheetView>
  </sheetViews>
  <sheetFormatPr defaultRowHeight="14.4" x14ac:dyDescent="0.3"/>
  <cols>
    <col min="1" max="1" width="12.109375" bestFit="1" customWidth="1"/>
    <col min="2" max="3" width="10.44140625" bestFit="1" customWidth="1"/>
    <col min="4" max="4" width="8.21875" bestFit="1" customWidth="1"/>
    <col min="5" max="5" width="7.33203125" bestFit="1" customWidth="1"/>
    <col min="6" max="6" width="28.77734375" bestFit="1" customWidth="1"/>
    <col min="7" max="7" width="8.77734375" bestFit="1" customWidth="1"/>
    <col min="8" max="8" width="7.33203125" bestFit="1" customWidth="1"/>
    <col min="9" max="9" width="5.21875" bestFit="1" customWidth="1"/>
    <col min="10" max="10" width="7.88671875" bestFit="1" customWidth="1"/>
    <col min="11" max="11" width="8.44140625" bestFit="1" customWidth="1"/>
    <col min="12" max="12" width="6.109375" bestFit="1" customWidth="1"/>
    <col min="13" max="13" width="7.77734375" bestFit="1" customWidth="1"/>
  </cols>
  <sheetData>
    <row r="1" spans="1:16" x14ac:dyDescent="0.3">
      <c r="A1" s="7"/>
      <c r="B1" s="7"/>
      <c r="C1" s="7"/>
      <c r="D1" s="7"/>
      <c r="E1" s="7"/>
      <c r="F1" s="10"/>
      <c r="G1" s="7" t="s">
        <v>43</v>
      </c>
      <c r="H1" s="7"/>
      <c r="I1" s="7"/>
      <c r="J1" s="7"/>
      <c r="K1" s="7"/>
      <c r="L1" s="7"/>
      <c r="M1" s="7"/>
      <c r="N1" s="7"/>
      <c r="O1" s="7"/>
      <c r="P1" s="7"/>
    </row>
    <row r="2" spans="1:16" x14ac:dyDescent="0.3">
      <c r="A2" s="9" t="s">
        <v>38</v>
      </c>
      <c r="B2" s="9"/>
      <c r="C2" s="9"/>
      <c r="D2" s="9"/>
      <c r="E2" s="9"/>
      <c r="F2" s="9"/>
      <c r="G2" s="9"/>
      <c r="H2" s="9"/>
      <c r="I2" s="9"/>
      <c r="J2" s="9"/>
      <c r="K2" s="9"/>
      <c r="L2" s="9"/>
      <c r="M2" s="9"/>
      <c r="N2" s="9"/>
      <c r="O2" s="9"/>
      <c r="P2" s="9"/>
    </row>
    <row r="4" spans="1:16" ht="72" x14ac:dyDescent="0.3">
      <c r="A4" s="5" t="s">
        <v>0</v>
      </c>
      <c r="B4" s="5" t="s">
        <v>1</v>
      </c>
      <c r="C4" s="5" t="s">
        <v>2</v>
      </c>
      <c r="D4" s="6" t="s">
        <v>3</v>
      </c>
      <c r="E4" s="6" t="s">
        <v>4</v>
      </c>
      <c r="F4" s="6" t="s">
        <v>5</v>
      </c>
      <c r="G4" s="6" t="s">
        <v>6</v>
      </c>
      <c r="H4" s="6" t="s">
        <v>7</v>
      </c>
      <c r="I4" s="6" t="s">
        <v>8</v>
      </c>
      <c r="J4" s="6" t="s">
        <v>20</v>
      </c>
      <c r="K4" s="6" t="s">
        <v>9</v>
      </c>
      <c r="L4" s="6" t="s">
        <v>24</v>
      </c>
      <c r="M4" s="6" t="s">
        <v>29</v>
      </c>
      <c r="N4" s="6" t="s">
        <v>40</v>
      </c>
      <c r="O4" s="6" t="s">
        <v>41</v>
      </c>
      <c r="P4" s="6" t="s">
        <v>42</v>
      </c>
    </row>
    <row r="5" spans="1:16" x14ac:dyDescent="0.3">
      <c r="A5" s="3">
        <v>1</v>
      </c>
      <c r="B5" s="3" t="s">
        <v>10</v>
      </c>
      <c r="C5" s="3" t="s">
        <v>11</v>
      </c>
      <c r="D5" s="1">
        <v>85</v>
      </c>
      <c r="E5" s="1">
        <v>91</v>
      </c>
      <c r="F5" s="1">
        <v>88</v>
      </c>
      <c r="G5" s="1">
        <v>95</v>
      </c>
      <c r="H5" s="1">
        <v>82</v>
      </c>
      <c r="I5">
        <f>SUM(D5:H5)</f>
        <v>441</v>
      </c>
      <c r="J5">
        <f>I5/5</f>
        <v>88.2</v>
      </c>
      <c r="K5">
        <f>(I5/500) *100</f>
        <v>88.2</v>
      </c>
      <c r="L5" t="str">
        <f>IF(SUMIF(Table13468[[#This Row],[Mathematics]]:Table13468[[#This Row],[Social Science]],"&gt;=50",Table13468[[#This Row],[Mathematics]]:Table13468[[#This Row],[Social Science]])=SUM(Table13468[[#This Row],[Mathematics]]:Table13468[[#This Row],[Social Science]]),"Pass","Fail")</f>
        <v>Pass</v>
      </c>
      <c r="M5">
        <f>COUNTA(Table13468[[#This Row],[Mathematics]]:Table13468[[#This Row],[Social Science]])</f>
        <v>5</v>
      </c>
      <c r="N5">
        <f>LEN(Table13468[[#This Row],[First Name]])</f>
        <v>9</v>
      </c>
      <c r="O5" t="str">
        <f>PROPER(Table13468[[#This Row],[First Name]])</f>
        <v>Sanskriti</v>
      </c>
      <c r="P5" t="str">
        <f>UPPER(Table13468[[#This Row],[First Name]])</f>
        <v>SANSKRITI</v>
      </c>
    </row>
    <row r="6" spans="1:16" x14ac:dyDescent="0.3">
      <c r="A6" s="3">
        <v>2</v>
      </c>
      <c r="B6" s="3" t="s">
        <v>12</v>
      </c>
      <c r="C6" s="3" t="s">
        <v>11</v>
      </c>
      <c r="D6" s="1">
        <v>78</v>
      </c>
      <c r="E6" s="1">
        <v>84</v>
      </c>
      <c r="F6" s="1">
        <v>90</v>
      </c>
      <c r="G6" s="1">
        <v>88</v>
      </c>
      <c r="H6" s="1">
        <v>76</v>
      </c>
      <c r="I6">
        <f t="shared" ref="I6:I9" si="0">SUM(D6:H6)</f>
        <v>416</v>
      </c>
      <c r="J6">
        <f t="shared" ref="J6:J9" si="1">I6/5</f>
        <v>83.2</v>
      </c>
      <c r="K6">
        <f t="shared" ref="K6:K9" si="2">(I6/500) *100</f>
        <v>83.2</v>
      </c>
      <c r="L6" t="str">
        <f>IF(SUMIF(Table13468[[#This Row],[Mathematics]]:Table13468[[#This Row],[Social Science]],"&gt;=50",Table13468[[#This Row],[Mathematics]]:Table13468[[#This Row],[Social Science]])=SUM(Table13468[[#This Row],[Mathematics]]:Table13468[[#This Row],[Social Science]]),"Pass","Fail")</f>
        <v>Pass</v>
      </c>
      <c r="M6">
        <f>COUNTA(Table13468[[#This Row],[Mathematics]]:Table13468[[#This Row],[Social Science]])</f>
        <v>5</v>
      </c>
      <c r="N6">
        <f>LEN(Table13468[[#This Row],[First Name]])</f>
        <v>3</v>
      </c>
      <c r="O6" t="str">
        <f>PROPER(Table13468[[#This Row],[First Name]])</f>
        <v>Anu</v>
      </c>
      <c r="P6" t="str">
        <f>UPPER(Table13468[[#This Row],[First Name]])</f>
        <v>ANU</v>
      </c>
    </row>
    <row r="7" spans="1:16" x14ac:dyDescent="0.3">
      <c r="A7" s="3">
        <v>3</v>
      </c>
      <c r="B7" s="3" t="s">
        <v>13</v>
      </c>
      <c r="C7" s="3" t="s">
        <v>11</v>
      </c>
      <c r="D7" s="1">
        <v>92</v>
      </c>
      <c r="E7" s="1">
        <v>89</v>
      </c>
      <c r="F7" s="1">
        <v>85</v>
      </c>
      <c r="G7" s="1">
        <v>94</v>
      </c>
      <c r="H7" s="1">
        <v>90</v>
      </c>
      <c r="I7">
        <f t="shared" si="0"/>
        <v>450</v>
      </c>
      <c r="J7">
        <f t="shared" si="1"/>
        <v>90</v>
      </c>
      <c r="K7">
        <f t="shared" si="2"/>
        <v>90</v>
      </c>
      <c r="L7" t="str">
        <f>IF(SUMIF(Table13468[[#This Row],[Mathematics]]:Table13468[[#This Row],[Social Science]],"&gt;=50",Table13468[[#This Row],[Mathematics]]:Table13468[[#This Row],[Social Science]])=SUM(Table13468[[#This Row],[Mathematics]]:Table13468[[#This Row],[Social Science]]),"Pass","Fail")</f>
        <v>Pass</v>
      </c>
      <c r="M7">
        <f>COUNTA(Table13468[[#This Row],[Mathematics]]:Table13468[[#This Row],[Social Science]])</f>
        <v>5</v>
      </c>
      <c r="N7">
        <f>LEN(Table13468[[#This Row],[First Name]])</f>
        <v>5</v>
      </c>
      <c r="O7" t="str">
        <f>PROPER(Table13468[[#This Row],[First Name]])</f>
        <v>Shubh</v>
      </c>
      <c r="P7" t="str">
        <f>UPPER(Table13468[[#This Row],[First Name]])</f>
        <v>SHUBH</v>
      </c>
    </row>
    <row r="8" spans="1:16" x14ac:dyDescent="0.3">
      <c r="A8" s="3">
        <v>4</v>
      </c>
      <c r="B8" s="3" t="s">
        <v>14</v>
      </c>
      <c r="C8" s="3" t="s">
        <v>15</v>
      </c>
      <c r="D8" s="1">
        <v>74</v>
      </c>
      <c r="E8" s="1"/>
      <c r="F8" s="1">
        <v>79</v>
      </c>
      <c r="G8" s="1">
        <v>86</v>
      </c>
      <c r="H8" s="1">
        <v>83</v>
      </c>
      <c r="I8">
        <f t="shared" si="0"/>
        <v>322</v>
      </c>
      <c r="J8">
        <f t="shared" si="1"/>
        <v>64.400000000000006</v>
      </c>
      <c r="K8">
        <f t="shared" si="2"/>
        <v>64.400000000000006</v>
      </c>
      <c r="L8" t="str">
        <f>IF(SUMIF(Table13468[[#This Row],[Mathematics]]:Table13468[[#This Row],[Social Science]],"&gt;=50",Table13468[[#This Row],[Mathematics]]:Table13468[[#This Row],[Social Science]])=SUM(Table13468[[#This Row],[Mathematics]]:Table13468[[#This Row],[Social Science]]),"Pass","Fail")</f>
        <v>Pass</v>
      </c>
      <c r="M8">
        <f>COUNTA(Table13468[[#This Row],[Mathematics]]:Table13468[[#This Row],[Social Science]])</f>
        <v>4</v>
      </c>
      <c r="N8">
        <f>LEN(Table13468[[#This Row],[First Name]])</f>
        <v>4</v>
      </c>
      <c r="O8" t="str">
        <f>PROPER(Table13468[[#This Row],[First Name]])</f>
        <v>Alok</v>
      </c>
      <c r="P8" t="str">
        <f>UPPER(Table13468[[#This Row],[First Name]])</f>
        <v>ALOK</v>
      </c>
    </row>
    <row r="9" spans="1:16" x14ac:dyDescent="0.3">
      <c r="A9" s="3">
        <v>5</v>
      </c>
      <c r="B9" s="3" t="s">
        <v>16</v>
      </c>
      <c r="C9" s="3" t="s">
        <v>67</v>
      </c>
      <c r="D9" s="1">
        <v>88</v>
      </c>
      <c r="E9" s="1">
        <v>93</v>
      </c>
      <c r="F9" s="1">
        <v>1</v>
      </c>
      <c r="G9" s="1">
        <v>89</v>
      </c>
      <c r="H9" s="1">
        <v>87</v>
      </c>
      <c r="I9">
        <f t="shared" si="0"/>
        <v>358</v>
      </c>
      <c r="J9">
        <f t="shared" si="1"/>
        <v>71.599999999999994</v>
      </c>
      <c r="K9">
        <f t="shared" si="2"/>
        <v>71.599999999999994</v>
      </c>
      <c r="L9" t="str">
        <f>IF(SUMIF(Table13468[[#This Row],[Mathematics]]:Table13468[[#This Row],[Social Science]],"&gt;=50",Table13468[[#This Row],[Mathematics]]:Table13468[[#This Row],[Social Science]])=SUM(Table13468[[#This Row],[Mathematics]]:Table13468[[#This Row],[Social Science]]),"Pass","Fail")</f>
        <v>Fail</v>
      </c>
      <c r="M9">
        <f>COUNTA(Table13468[[#This Row],[Mathematics]]:Table13468[[#This Row],[Social Science]])</f>
        <v>5</v>
      </c>
      <c r="N9">
        <f>LEN(Table13468[[#This Row],[First Name]])</f>
        <v>4</v>
      </c>
      <c r="O9" t="str">
        <f>PROPER(Table13468[[#This Row],[First Name]])</f>
        <v>Riya</v>
      </c>
      <c r="P9" t="str">
        <f>UPPER(Table13468[[#This Row],[First Name]])</f>
        <v>RIYA</v>
      </c>
    </row>
    <row r="11" spans="1:16" x14ac:dyDescent="0.3">
      <c r="F11" s="12" t="s">
        <v>28</v>
      </c>
      <c r="G11">
        <f>COUNT(D5:H5)</f>
        <v>5</v>
      </c>
    </row>
    <row r="13" spans="1:16" x14ac:dyDescent="0.3">
      <c r="F13" s="12" t="s">
        <v>31</v>
      </c>
      <c r="G13">
        <f>COUNTIF(Table13468[Is_Fail],"Pass")</f>
        <v>4</v>
      </c>
    </row>
    <row r="15" spans="1:16" x14ac:dyDescent="0.3">
      <c r="F15" s="12" t="s">
        <v>31</v>
      </c>
      <c r="G15">
        <f>COUNTIF(Table13468[Is_Fail],"Fail")</f>
        <v>1</v>
      </c>
    </row>
    <row r="17" spans="6:7" x14ac:dyDescent="0.3">
      <c r="F17" s="12" t="s">
        <v>39</v>
      </c>
      <c r="G17">
        <f>VLOOKUP(A5,Table13468[#All],6,FALSE)</f>
        <v>88</v>
      </c>
    </row>
  </sheetData>
  <mergeCells count="1">
    <mergeCell ref="A2:P2"/>
  </mergeCells>
  <conditionalFormatting sqref="L5:L9">
    <cfRule type="containsText" dxfId="17" priority="1" operator="containsText" text="Pass">
      <formula>NOT(ISERROR(SEARCH("Pass",L5)))</formula>
    </cfRule>
    <cfRule type="containsText" dxfId="16" priority="2" operator="containsText" text="Fail">
      <formula>NOT(ISERROR(SEARCH("Fail",L5)))</formula>
    </cfRule>
    <cfRule type="containsText" dxfId="15" priority="3" operator="containsText" text="Fail">
      <formula>NOT(ISERROR(SEARCH("Fail",L5)))</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710AB-D116-4E4F-904C-8C8CF315A1EA}">
  <dimension ref="A1:S17"/>
  <sheetViews>
    <sheetView workbookViewId="0">
      <selection activeCell="C10" sqref="C10"/>
    </sheetView>
  </sheetViews>
  <sheetFormatPr defaultRowHeight="14.4" x14ac:dyDescent="0.3"/>
  <cols>
    <col min="1" max="1" width="12.109375" bestFit="1" customWidth="1"/>
    <col min="2" max="3" width="10.44140625" bestFit="1" customWidth="1"/>
    <col min="4" max="4" width="8.21875" bestFit="1" customWidth="1"/>
    <col min="5" max="5" width="7.33203125" bestFit="1" customWidth="1"/>
    <col min="6" max="6" width="28.77734375" bestFit="1" customWidth="1"/>
    <col min="7" max="7" width="8.77734375" bestFit="1" customWidth="1"/>
    <col min="8" max="8" width="7.33203125" bestFit="1" customWidth="1"/>
    <col min="9" max="9" width="5.21875" bestFit="1" customWidth="1"/>
    <col min="10" max="10" width="7.88671875" bestFit="1" customWidth="1"/>
    <col min="11" max="11" width="8.44140625" bestFit="1" customWidth="1"/>
    <col min="12" max="12" width="6.109375" bestFit="1" customWidth="1"/>
    <col min="13" max="13" width="7.77734375" bestFit="1" customWidth="1"/>
  </cols>
  <sheetData>
    <row r="1" spans="1:19" x14ac:dyDescent="0.3">
      <c r="A1" s="7"/>
      <c r="B1" s="7"/>
      <c r="C1" s="7"/>
      <c r="D1" s="7"/>
      <c r="E1" s="7"/>
      <c r="F1" s="10"/>
      <c r="G1" s="7" t="s">
        <v>44</v>
      </c>
      <c r="H1" s="7"/>
      <c r="I1" s="7"/>
      <c r="J1" s="7"/>
      <c r="K1" s="7"/>
      <c r="L1" s="7"/>
      <c r="M1" s="7"/>
      <c r="N1" s="7"/>
      <c r="O1" s="7"/>
      <c r="P1" s="7"/>
      <c r="Q1" s="7"/>
      <c r="R1" s="7"/>
      <c r="S1" s="7"/>
    </row>
    <row r="2" spans="1:19" x14ac:dyDescent="0.3">
      <c r="A2" s="9" t="s">
        <v>45</v>
      </c>
      <c r="B2" s="9"/>
      <c r="C2" s="9"/>
      <c r="D2" s="9"/>
      <c r="E2" s="9"/>
      <c r="F2" s="9"/>
      <c r="G2" s="9"/>
      <c r="H2" s="9"/>
      <c r="I2" s="9"/>
      <c r="J2" s="9"/>
      <c r="K2" s="9"/>
      <c r="L2" s="9"/>
      <c r="M2" s="9"/>
      <c r="N2" s="9"/>
      <c r="O2" s="9"/>
      <c r="P2" s="9"/>
      <c r="Q2" s="9"/>
      <c r="R2" s="9"/>
      <c r="S2" s="9"/>
    </row>
    <row r="4" spans="1:19" ht="72" x14ac:dyDescent="0.3">
      <c r="A4" s="5" t="s">
        <v>0</v>
      </c>
      <c r="B4" s="5" t="s">
        <v>1</v>
      </c>
      <c r="C4" s="5" t="s">
        <v>2</v>
      </c>
      <c r="D4" s="6" t="s">
        <v>3</v>
      </c>
      <c r="E4" s="6" t="s">
        <v>4</v>
      </c>
      <c r="F4" s="6" t="s">
        <v>5</v>
      </c>
      <c r="G4" s="6" t="s">
        <v>6</v>
      </c>
      <c r="H4" s="6" t="s">
        <v>7</v>
      </c>
      <c r="I4" s="6" t="s">
        <v>8</v>
      </c>
      <c r="J4" s="6" t="s">
        <v>20</v>
      </c>
      <c r="K4" s="6" t="s">
        <v>9</v>
      </c>
      <c r="L4" s="6" t="s">
        <v>24</v>
      </c>
      <c r="M4" s="6" t="s">
        <v>29</v>
      </c>
      <c r="N4" s="6" t="s">
        <v>40</v>
      </c>
      <c r="O4" s="6" t="s">
        <v>41</v>
      </c>
      <c r="P4" s="6" t="s">
        <v>42</v>
      </c>
      <c r="Q4" s="6" t="s">
        <v>49</v>
      </c>
      <c r="R4" s="6" t="s">
        <v>50</v>
      </c>
      <c r="S4" s="6" t="s">
        <v>51</v>
      </c>
    </row>
    <row r="5" spans="1:19" x14ac:dyDescent="0.3">
      <c r="A5" s="3">
        <v>1</v>
      </c>
      <c r="B5" s="3" t="s">
        <v>46</v>
      </c>
      <c r="C5" s="3" t="s">
        <v>11</v>
      </c>
      <c r="D5" s="1">
        <v>85</v>
      </c>
      <c r="E5" s="1">
        <v>91</v>
      </c>
      <c r="F5" s="1">
        <v>88</v>
      </c>
      <c r="G5" s="1">
        <v>95</v>
      </c>
      <c r="H5" s="1">
        <v>82</v>
      </c>
      <c r="I5">
        <f>SUM(D5:H5)</f>
        <v>441</v>
      </c>
      <c r="J5">
        <f>I5/5</f>
        <v>88.2</v>
      </c>
      <c r="K5">
        <f>(I5/500) *100</f>
        <v>88.2</v>
      </c>
      <c r="L5" t="str">
        <f>IF(SUMIF(Table1346810[[#This Row],[Mathematics]]:Table1346810[[#This Row],[Social Science]],"&gt;=50",Table1346810[[#This Row],[Mathematics]]:Table1346810[[#This Row],[Social Science]])=SUM(Table1346810[[#This Row],[Mathematics]]:Table1346810[[#This Row],[Social Science]]),"Pass","Fail")</f>
        <v>Pass</v>
      </c>
      <c r="M5">
        <f>COUNTA(Table1346810[[#This Row],[Mathematics]]:Table1346810[[#This Row],[Social Science]])</f>
        <v>5</v>
      </c>
      <c r="N5">
        <f>LEN(Table1346810[[#This Row],[First Name]])</f>
        <v>12</v>
      </c>
      <c r="O5" t="str">
        <f>PROPER(Table1346810[[#This Row],[First Name]])</f>
        <v xml:space="preserve">Sanskriti   </v>
      </c>
      <c r="P5" t="str">
        <f>UPPER(Table1346810[[#This Row],[First Name]])</f>
        <v xml:space="preserve">SANSKRITI   </v>
      </c>
      <c r="Q5" s="17" t="str">
        <f>SUBSTITUTE(Table1346810[[#This Row],[First Name]],"@","")</f>
        <v xml:space="preserve">Sanskriti   </v>
      </c>
      <c r="R5" s="17" t="str">
        <f>TRIM(Table1346810[[#This Row],[First Name]])</f>
        <v>Sanskriti</v>
      </c>
      <c r="S5" s="17" t="str">
        <f>SUBSTITUTE(Table1346810[[#This Row],[First Name]],"u","i")</f>
        <v xml:space="preserve">Sanskriti   </v>
      </c>
    </row>
    <row r="6" spans="1:19" x14ac:dyDescent="0.3">
      <c r="A6" s="3">
        <v>2</v>
      </c>
      <c r="B6" s="3" t="s">
        <v>12</v>
      </c>
      <c r="C6" s="3" t="s">
        <v>11</v>
      </c>
      <c r="D6" s="1">
        <v>78</v>
      </c>
      <c r="E6" s="1">
        <v>84</v>
      </c>
      <c r="F6" s="1">
        <v>90</v>
      </c>
      <c r="G6" s="1">
        <v>88</v>
      </c>
      <c r="H6" s="1">
        <v>76</v>
      </c>
      <c r="I6">
        <f t="shared" ref="I6:I9" si="0">SUM(D6:H6)</f>
        <v>416</v>
      </c>
      <c r="J6">
        <f t="shared" ref="J6:J9" si="1">I6/5</f>
        <v>83.2</v>
      </c>
      <c r="K6">
        <f t="shared" ref="K6:K9" si="2">(I6/500) *100</f>
        <v>83.2</v>
      </c>
      <c r="L6" t="str">
        <f>IF(SUMIF(Table1346810[[#This Row],[Mathematics]]:Table1346810[[#This Row],[Social Science]],"&gt;=50",Table1346810[[#This Row],[Mathematics]]:Table1346810[[#This Row],[Social Science]])=SUM(Table1346810[[#This Row],[Mathematics]]:Table1346810[[#This Row],[Social Science]]),"Pass","Fail")</f>
        <v>Pass</v>
      </c>
      <c r="M6">
        <f>COUNTA(Table1346810[[#This Row],[Mathematics]]:Table1346810[[#This Row],[Social Science]])</f>
        <v>5</v>
      </c>
      <c r="N6">
        <f>LEN(Table1346810[[#This Row],[First Name]])</f>
        <v>3</v>
      </c>
      <c r="O6" t="str">
        <f>PROPER(Table1346810[[#This Row],[First Name]])</f>
        <v>Anu</v>
      </c>
      <c r="P6" t="str">
        <f>UPPER(Table1346810[[#This Row],[First Name]])</f>
        <v>ANU</v>
      </c>
      <c r="Q6" s="17" t="str">
        <f>SUBSTITUTE(Table1346810[[#This Row],[First Name]],"@","")</f>
        <v>Anu</v>
      </c>
      <c r="R6" s="17" t="str">
        <f>TRIM(Table1346810[[#This Row],[First Name]])</f>
        <v>Anu</v>
      </c>
      <c r="S6" s="17" t="str">
        <f>SUBSTITUTE(Table1346810[[#This Row],[First Name]],"u","i")</f>
        <v>Ani</v>
      </c>
    </row>
    <row r="7" spans="1:19" x14ac:dyDescent="0.3">
      <c r="A7" s="3">
        <v>3</v>
      </c>
      <c r="B7" s="16" t="s">
        <v>47</v>
      </c>
      <c r="C7" s="3" t="s">
        <v>11</v>
      </c>
      <c r="D7" s="1">
        <v>92</v>
      </c>
      <c r="E7" s="1">
        <v>89</v>
      </c>
      <c r="F7" s="1">
        <v>85</v>
      </c>
      <c r="G7" s="1">
        <v>94</v>
      </c>
      <c r="H7" s="1">
        <v>90</v>
      </c>
      <c r="I7">
        <f t="shared" si="0"/>
        <v>450</v>
      </c>
      <c r="J7">
        <f t="shared" si="1"/>
        <v>90</v>
      </c>
      <c r="K7">
        <f t="shared" si="2"/>
        <v>90</v>
      </c>
      <c r="L7" t="str">
        <f>IF(SUMIF(Table1346810[[#This Row],[Mathematics]]:Table1346810[[#This Row],[Social Science]],"&gt;=50",Table1346810[[#This Row],[Mathematics]]:Table1346810[[#This Row],[Social Science]])=SUM(Table1346810[[#This Row],[Mathematics]]:Table1346810[[#This Row],[Social Science]]),"Pass","Fail")</f>
        <v>Pass</v>
      </c>
      <c r="M7">
        <f>COUNTA(Table1346810[[#This Row],[Mathematics]]:Table1346810[[#This Row],[Social Science]])</f>
        <v>5</v>
      </c>
      <c r="N7">
        <f>LEN(Table1346810[[#This Row],[First Name]])</f>
        <v>6</v>
      </c>
      <c r="O7" t="str">
        <f>PROPER(Table1346810[[#This Row],[First Name]])</f>
        <v>Shubh@</v>
      </c>
      <c r="P7" t="str">
        <f>UPPER(Table1346810[[#This Row],[First Name]])</f>
        <v>SHUBH@</v>
      </c>
      <c r="Q7" s="17" t="str">
        <f>SUBSTITUTE(Table1346810[[#This Row],[First Name]],"@","")</f>
        <v>Shubh</v>
      </c>
      <c r="R7" s="17" t="str">
        <f>TRIM(Table1346810[[#This Row],[First Name]])</f>
        <v>Shubh@</v>
      </c>
      <c r="S7" s="17" t="str">
        <f>SUBSTITUTE(Table1346810[[#This Row],[First Name]],"u","i")</f>
        <v>Shibh@</v>
      </c>
    </row>
    <row r="8" spans="1:19" x14ac:dyDescent="0.3">
      <c r="A8" s="3">
        <v>4</v>
      </c>
      <c r="B8" s="3" t="s">
        <v>14</v>
      </c>
      <c r="C8" s="3" t="s">
        <v>15</v>
      </c>
      <c r="D8" s="1">
        <v>74</v>
      </c>
      <c r="E8" s="1"/>
      <c r="F8" s="1">
        <v>79</v>
      </c>
      <c r="G8" s="1">
        <v>86</v>
      </c>
      <c r="H8" s="1">
        <v>83</v>
      </c>
      <c r="I8">
        <f t="shared" si="0"/>
        <v>322</v>
      </c>
      <c r="J8">
        <f t="shared" si="1"/>
        <v>64.400000000000006</v>
      </c>
      <c r="K8">
        <f t="shared" si="2"/>
        <v>64.400000000000006</v>
      </c>
      <c r="L8" t="str">
        <f>IF(SUMIF(Table1346810[[#This Row],[Mathematics]]:Table1346810[[#This Row],[Social Science]],"&gt;=50",Table1346810[[#This Row],[Mathematics]]:Table1346810[[#This Row],[Social Science]])=SUM(Table1346810[[#This Row],[Mathematics]]:Table1346810[[#This Row],[Social Science]]),"Pass","Fail")</f>
        <v>Pass</v>
      </c>
      <c r="M8">
        <f>COUNTA(Table1346810[[#This Row],[Mathematics]]:Table1346810[[#This Row],[Social Science]])</f>
        <v>4</v>
      </c>
      <c r="N8">
        <f>LEN(Table1346810[[#This Row],[First Name]])</f>
        <v>4</v>
      </c>
      <c r="O8" t="str">
        <f>PROPER(Table1346810[[#This Row],[First Name]])</f>
        <v>Alok</v>
      </c>
      <c r="P8" t="str">
        <f>UPPER(Table1346810[[#This Row],[First Name]])</f>
        <v>ALOK</v>
      </c>
      <c r="Q8" s="17" t="str">
        <f>SUBSTITUTE(Table1346810[[#This Row],[First Name]],"@","")</f>
        <v>Alok</v>
      </c>
      <c r="R8" s="17" t="str">
        <f>TRIM(Table1346810[[#This Row],[First Name]])</f>
        <v>Alok</v>
      </c>
      <c r="S8" s="17" t="str">
        <f>SUBSTITUTE(Table1346810[[#This Row],[First Name]],"u","i")</f>
        <v>Alok</v>
      </c>
    </row>
    <row r="9" spans="1:19" x14ac:dyDescent="0.3">
      <c r="A9" s="3">
        <v>5</v>
      </c>
      <c r="B9" s="3" t="s">
        <v>48</v>
      </c>
      <c r="C9" s="3" t="s">
        <v>67</v>
      </c>
      <c r="D9" s="1">
        <v>88</v>
      </c>
      <c r="E9" s="1">
        <v>93</v>
      </c>
      <c r="F9" s="1">
        <v>1</v>
      </c>
      <c r="G9" s="1">
        <v>89</v>
      </c>
      <c r="H9" s="1">
        <v>87</v>
      </c>
      <c r="I9">
        <f t="shared" si="0"/>
        <v>358</v>
      </c>
      <c r="J9">
        <f t="shared" si="1"/>
        <v>71.599999999999994</v>
      </c>
      <c r="K9">
        <f t="shared" si="2"/>
        <v>71.599999999999994</v>
      </c>
      <c r="L9" t="str">
        <f>IF(SUMIF(Table1346810[[#This Row],[Mathematics]]:Table1346810[[#This Row],[Social Science]],"&gt;=50",Table1346810[[#This Row],[Mathematics]]:Table1346810[[#This Row],[Social Science]])=SUM(Table1346810[[#This Row],[Mathematics]]:Table1346810[[#This Row],[Social Science]]),"Pass","Fail")</f>
        <v>Fail</v>
      </c>
      <c r="M9">
        <f>COUNTA(Table1346810[[#This Row],[Mathematics]]:Table1346810[[#This Row],[Social Science]])</f>
        <v>5</v>
      </c>
      <c r="N9">
        <f>LEN(Table1346810[[#This Row],[First Name]])</f>
        <v>12</v>
      </c>
      <c r="O9" t="str">
        <f>PROPER(Table1346810[[#This Row],[First Name]])</f>
        <v xml:space="preserve">        Riya</v>
      </c>
      <c r="P9" t="str">
        <f>UPPER(Table1346810[[#This Row],[First Name]])</f>
        <v xml:space="preserve">        RIYA</v>
      </c>
      <c r="Q9" s="17" t="str">
        <f>SUBSTITUTE(Table1346810[[#This Row],[First Name]],"@","")</f>
        <v xml:space="preserve">        Riya</v>
      </c>
      <c r="R9" s="17" t="str">
        <f>TRIM(Table1346810[[#This Row],[First Name]])</f>
        <v>Riya</v>
      </c>
      <c r="S9" s="17" t="str">
        <f>SUBSTITUTE(Table1346810[[#This Row],[First Name]],"u","i")</f>
        <v xml:space="preserve">        Riya</v>
      </c>
    </row>
    <row r="11" spans="1:19" x14ac:dyDescent="0.3">
      <c r="F11" s="12" t="s">
        <v>28</v>
      </c>
      <c r="G11">
        <f>COUNT(D5:H5)</f>
        <v>5</v>
      </c>
    </row>
    <row r="13" spans="1:19" x14ac:dyDescent="0.3">
      <c r="F13" s="12" t="s">
        <v>31</v>
      </c>
      <c r="G13">
        <f>COUNTIF(Table1346810[Is_Fail],"Pass")</f>
        <v>4</v>
      </c>
    </row>
    <row r="15" spans="1:19" x14ac:dyDescent="0.3">
      <c r="F15" s="12" t="s">
        <v>31</v>
      </c>
      <c r="G15">
        <f>COUNTIF(Table1346810[Is_Fail],"Fail")</f>
        <v>1</v>
      </c>
    </row>
    <row r="17" spans="6:7" x14ac:dyDescent="0.3">
      <c r="F17" s="12" t="s">
        <v>39</v>
      </c>
      <c r="G17">
        <f>VLOOKUP(A5,Table1346810[#All],6,FALSE)</f>
        <v>88</v>
      </c>
    </row>
  </sheetData>
  <mergeCells count="1">
    <mergeCell ref="A2:S2"/>
  </mergeCells>
  <conditionalFormatting sqref="L5:L9">
    <cfRule type="containsText" dxfId="11" priority="1" operator="containsText" text="Pass">
      <formula>NOT(ISERROR(SEARCH("Pass",L5)))</formula>
    </cfRule>
    <cfRule type="containsText" dxfId="10" priority="2" operator="containsText" text="Fail">
      <formula>NOT(ISERROR(SEARCH("Fail",L5)))</formula>
    </cfRule>
    <cfRule type="containsText" dxfId="9" priority="3" operator="containsText" text="Fail">
      <formula>NOT(ISERROR(SEARCH("Fail",L5)))</formula>
    </cfRule>
  </conditionalFormatting>
  <hyperlinks>
    <hyperlink ref="B7" r:id="rId1" xr:uid="{712E3FDA-F5AF-48EA-97BD-493C04C29B3E}"/>
  </hyperlinks>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9B0B-F12E-4BC0-A6C2-F1C8F1BDFE4E}">
  <dimension ref="A1:S17"/>
  <sheetViews>
    <sheetView workbookViewId="0">
      <selection activeCell="C10" sqref="C10"/>
    </sheetView>
  </sheetViews>
  <sheetFormatPr defaultRowHeight="14.4" x14ac:dyDescent="0.3"/>
  <cols>
    <col min="1" max="1" width="12.109375" bestFit="1" customWidth="1"/>
    <col min="2" max="3" width="10.44140625" bestFit="1" customWidth="1"/>
    <col min="4" max="4" width="8.21875" bestFit="1" customWidth="1"/>
    <col min="5" max="5" width="7.33203125" bestFit="1" customWidth="1"/>
    <col min="6" max="6" width="28.77734375" bestFit="1" customWidth="1"/>
    <col min="7" max="7" width="8.77734375" bestFit="1" customWidth="1"/>
    <col min="8" max="8" width="7.33203125" bestFit="1" customWidth="1"/>
    <col min="9" max="9" width="5.21875" bestFit="1" customWidth="1"/>
    <col min="10" max="10" width="7.88671875" bestFit="1" customWidth="1"/>
    <col min="11" max="11" width="8.44140625" bestFit="1" customWidth="1"/>
    <col min="12" max="12" width="6.109375" bestFit="1" customWidth="1"/>
    <col min="13" max="13" width="7.77734375" bestFit="1" customWidth="1"/>
    <col min="14" max="14" width="6.77734375" bestFit="1" customWidth="1"/>
    <col min="15" max="15" width="9.109375" bestFit="1" customWidth="1"/>
    <col min="16" max="16" width="10.77734375" bestFit="1" customWidth="1"/>
    <col min="17" max="17" width="9.109375" bestFit="1" customWidth="1"/>
    <col min="18" max="18" width="7.88671875" bestFit="1" customWidth="1"/>
    <col min="19" max="19" width="9.109375" bestFit="1" customWidth="1"/>
  </cols>
  <sheetData>
    <row r="1" spans="1:19" x14ac:dyDescent="0.3">
      <c r="A1" s="7"/>
      <c r="B1" s="7"/>
      <c r="C1" s="7"/>
      <c r="D1" s="7"/>
      <c r="E1" s="7"/>
      <c r="F1" s="10"/>
      <c r="G1" s="7" t="s">
        <v>52</v>
      </c>
      <c r="H1" s="7"/>
      <c r="I1" s="7"/>
      <c r="J1" s="7"/>
      <c r="K1" s="7"/>
      <c r="L1" s="7"/>
      <c r="M1" s="7"/>
      <c r="N1" s="7"/>
      <c r="O1" s="7"/>
      <c r="P1" s="7"/>
      <c r="Q1" s="7"/>
      <c r="R1" s="7"/>
      <c r="S1" s="7"/>
    </row>
    <row r="2" spans="1:19" x14ac:dyDescent="0.3">
      <c r="A2" s="9" t="s">
        <v>53</v>
      </c>
      <c r="B2" s="9"/>
      <c r="C2" s="9"/>
      <c r="D2" s="9"/>
      <c r="E2" s="9"/>
      <c r="F2" s="9"/>
      <c r="G2" s="9"/>
      <c r="H2" s="9"/>
      <c r="I2" s="9"/>
      <c r="J2" s="9"/>
      <c r="K2" s="9"/>
      <c r="L2" s="9"/>
      <c r="M2" s="9"/>
      <c r="N2" s="9"/>
      <c r="O2" s="9"/>
      <c r="P2" s="9"/>
      <c r="Q2" s="9"/>
      <c r="R2" s="9"/>
      <c r="S2" s="9"/>
    </row>
    <row r="4" spans="1:19" ht="57.6" x14ac:dyDescent="0.3">
      <c r="A4" s="5" t="s">
        <v>0</v>
      </c>
      <c r="B4" s="5" t="s">
        <v>1</v>
      </c>
      <c r="C4" s="5" t="s">
        <v>2</v>
      </c>
      <c r="D4" s="6" t="s">
        <v>3</v>
      </c>
      <c r="E4" s="6" t="s">
        <v>4</v>
      </c>
      <c r="F4" s="6" t="s">
        <v>5</v>
      </c>
      <c r="G4" s="6" t="s">
        <v>6</v>
      </c>
      <c r="H4" s="6" t="s">
        <v>7</v>
      </c>
      <c r="I4" s="6" t="s">
        <v>8</v>
      </c>
      <c r="J4" s="6" t="s">
        <v>20</v>
      </c>
      <c r="K4" s="6" t="s">
        <v>9</v>
      </c>
      <c r="L4" s="6" t="s">
        <v>24</v>
      </c>
      <c r="M4" s="6" t="s">
        <v>29</v>
      </c>
      <c r="N4" s="6" t="s">
        <v>40</v>
      </c>
      <c r="O4" s="6" t="s">
        <v>41</v>
      </c>
      <c r="P4" s="6" t="s">
        <v>42</v>
      </c>
      <c r="Q4" s="6" t="s">
        <v>49</v>
      </c>
      <c r="R4" s="6" t="s">
        <v>50</v>
      </c>
      <c r="S4" s="6" t="s">
        <v>51</v>
      </c>
    </row>
    <row r="5" spans="1:19" x14ac:dyDescent="0.3">
      <c r="A5" s="3">
        <v>1</v>
      </c>
      <c r="B5" s="3" t="s">
        <v>46</v>
      </c>
      <c r="C5" s="3" t="s">
        <v>11</v>
      </c>
      <c r="D5" s="1">
        <v>85</v>
      </c>
      <c r="E5" s="1">
        <v>91</v>
      </c>
      <c r="F5" s="1">
        <v>88</v>
      </c>
      <c r="G5" s="1">
        <v>95</v>
      </c>
      <c r="H5" s="1">
        <v>82</v>
      </c>
      <c r="I5">
        <f>SUM(D5:H5)</f>
        <v>441</v>
      </c>
      <c r="J5">
        <f>I5/5</f>
        <v>88.2</v>
      </c>
      <c r="K5">
        <f>(I5/500) *100</f>
        <v>88.2</v>
      </c>
      <c r="L5" t="str">
        <f>IF(SUMIF(Table134681011[[#This Row],[Mathematics]]:Table134681011[[#This Row],[Social Science]],"&gt;=50",Table134681011[[#This Row],[Mathematics]]:Table134681011[[#This Row],[Social Science]])=SUM(Table134681011[[#This Row],[Mathematics]]:Table134681011[[#This Row],[Social Science]]),"Pass","Fail")</f>
        <v>Pass</v>
      </c>
      <c r="M5">
        <f>COUNTA(Table134681011[[#This Row],[Mathematics]]:Table134681011[[#This Row],[Social Science]])</f>
        <v>5</v>
      </c>
      <c r="N5">
        <f>LEN(Table134681011[[#This Row],[First Name]])</f>
        <v>12</v>
      </c>
      <c r="O5" t="str">
        <f>PROPER(Table134681011[[#This Row],[First Name]])</f>
        <v xml:space="preserve">Sanskriti   </v>
      </c>
      <c r="P5" t="str">
        <f>UPPER(Table134681011[[#This Row],[First Name]])</f>
        <v xml:space="preserve">SANSKRITI   </v>
      </c>
      <c r="Q5" s="17" t="str">
        <f>SUBSTITUTE(Table134681011[[#This Row],[First Name]],"@","")</f>
        <v xml:space="preserve">Sanskriti   </v>
      </c>
      <c r="R5" s="17" t="str">
        <f>TRIM(Table134681011[[#This Row],[First Name]])</f>
        <v>Sanskriti</v>
      </c>
      <c r="S5" s="17" t="str">
        <f>SUBSTITUTE(Table134681011[[#This Row],[First Name]],"u","i")</f>
        <v xml:space="preserve">Sanskriti   </v>
      </c>
    </row>
    <row r="6" spans="1:19" x14ac:dyDescent="0.3">
      <c r="A6" s="3">
        <v>2</v>
      </c>
      <c r="B6" s="3" t="s">
        <v>12</v>
      </c>
      <c r="C6" s="3" t="s">
        <v>11</v>
      </c>
      <c r="D6" s="1">
        <v>78</v>
      </c>
      <c r="E6" s="1">
        <v>84</v>
      </c>
      <c r="F6" s="1">
        <v>90</v>
      </c>
      <c r="G6" s="1">
        <v>88</v>
      </c>
      <c r="H6" s="1">
        <v>76</v>
      </c>
      <c r="I6">
        <f t="shared" ref="I6:I9" si="0">SUM(D6:H6)</f>
        <v>416</v>
      </c>
      <c r="J6">
        <f t="shared" ref="J6:J9" si="1">I6/5</f>
        <v>83.2</v>
      </c>
      <c r="K6">
        <f t="shared" ref="K6:K9" si="2">(I6/500) *100</f>
        <v>83.2</v>
      </c>
      <c r="L6" t="str">
        <f>IF(SUMIF(Table134681011[[#This Row],[Mathematics]]:Table134681011[[#This Row],[Social Science]],"&gt;=50",Table134681011[[#This Row],[Mathematics]]:Table134681011[[#This Row],[Social Science]])=SUM(Table134681011[[#This Row],[Mathematics]]:Table134681011[[#This Row],[Social Science]]),"Pass","Fail")</f>
        <v>Pass</v>
      </c>
      <c r="M6">
        <f>COUNTA(Table134681011[[#This Row],[Mathematics]]:Table134681011[[#This Row],[Social Science]])</f>
        <v>5</v>
      </c>
      <c r="N6">
        <f>LEN(Table134681011[[#This Row],[First Name]])</f>
        <v>3</v>
      </c>
      <c r="O6" t="str">
        <f>PROPER(Table134681011[[#This Row],[First Name]])</f>
        <v>Anu</v>
      </c>
      <c r="P6" t="str">
        <f>UPPER(Table134681011[[#This Row],[First Name]])</f>
        <v>ANU</v>
      </c>
      <c r="Q6" s="17" t="str">
        <f>SUBSTITUTE(Table134681011[[#This Row],[First Name]],"@","")</f>
        <v>Anu</v>
      </c>
      <c r="R6" s="17" t="str">
        <f>TRIM(Table134681011[[#This Row],[First Name]])</f>
        <v>Anu</v>
      </c>
      <c r="S6" s="17" t="str">
        <f>SUBSTITUTE(Table134681011[[#This Row],[First Name]],"u","i")</f>
        <v>Ani</v>
      </c>
    </row>
    <row r="7" spans="1:19" x14ac:dyDescent="0.3">
      <c r="A7" s="3">
        <v>3</v>
      </c>
      <c r="B7" s="16" t="s">
        <v>47</v>
      </c>
      <c r="C7" s="3" t="s">
        <v>11</v>
      </c>
      <c r="D7" s="1">
        <v>92</v>
      </c>
      <c r="E7" s="1">
        <v>89</v>
      </c>
      <c r="F7" s="1">
        <v>85</v>
      </c>
      <c r="G7" s="1">
        <v>94</v>
      </c>
      <c r="H7" s="1">
        <v>90</v>
      </c>
      <c r="I7">
        <f t="shared" si="0"/>
        <v>450</v>
      </c>
      <c r="J7">
        <f t="shared" si="1"/>
        <v>90</v>
      </c>
      <c r="K7">
        <f t="shared" si="2"/>
        <v>90</v>
      </c>
      <c r="L7" t="str">
        <f>IF(SUMIF(Table134681011[[#This Row],[Mathematics]]:Table134681011[[#This Row],[Social Science]],"&gt;=50",Table134681011[[#This Row],[Mathematics]]:Table134681011[[#This Row],[Social Science]])=SUM(Table134681011[[#This Row],[Mathematics]]:Table134681011[[#This Row],[Social Science]]),"Pass","Fail")</f>
        <v>Pass</v>
      </c>
      <c r="M7">
        <f>COUNTA(Table134681011[[#This Row],[Mathematics]]:Table134681011[[#This Row],[Social Science]])</f>
        <v>5</v>
      </c>
      <c r="N7">
        <f>LEN(Table134681011[[#This Row],[First Name]])</f>
        <v>6</v>
      </c>
      <c r="O7" t="str">
        <f>PROPER(Table134681011[[#This Row],[First Name]])</f>
        <v>Shubh@</v>
      </c>
      <c r="P7" t="str">
        <f>UPPER(Table134681011[[#This Row],[First Name]])</f>
        <v>SHUBH@</v>
      </c>
      <c r="Q7" s="17" t="str">
        <f>SUBSTITUTE(Table134681011[[#This Row],[First Name]],"@","")</f>
        <v>Shubh</v>
      </c>
      <c r="R7" s="17" t="str">
        <f>TRIM(Table134681011[[#This Row],[First Name]])</f>
        <v>Shubh@</v>
      </c>
      <c r="S7" s="17" t="str">
        <f>SUBSTITUTE(Table134681011[[#This Row],[First Name]],"u","i")</f>
        <v>Shibh@</v>
      </c>
    </row>
    <row r="8" spans="1:19" x14ac:dyDescent="0.3">
      <c r="A8" s="3">
        <v>4</v>
      </c>
      <c r="B8" s="3" t="s">
        <v>14</v>
      </c>
      <c r="C8" s="3" t="s">
        <v>15</v>
      </c>
      <c r="D8" s="1">
        <v>74</v>
      </c>
      <c r="E8" s="1"/>
      <c r="F8" s="1">
        <v>79</v>
      </c>
      <c r="G8" s="1">
        <v>86</v>
      </c>
      <c r="H8" s="1">
        <v>83</v>
      </c>
      <c r="I8">
        <f t="shared" si="0"/>
        <v>322</v>
      </c>
      <c r="J8">
        <f t="shared" si="1"/>
        <v>64.400000000000006</v>
      </c>
      <c r="K8">
        <f t="shared" si="2"/>
        <v>64.400000000000006</v>
      </c>
      <c r="L8" t="str">
        <f>IF(SUMIF(Table134681011[[#This Row],[Mathematics]]:Table134681011[[#This Row],[Social Science]],"&gt;=50",Table134681011[[#This Row],[Mathematics]]:Table134681011[[#This Row],[Social Science]])=SUM(Table134681011[[#This Row],[Mathematics]]:Table134681011[[#This Row],[Social Science]]),"Pass","Fail")</f>
        <v>Pass</v>
      </c>
      <c r="M8">
        <f>COUNTA(Table134681011[[#This Row],[Mathematics]]:Table134681011[[#This Row],[Social Science]])</f>
        <v>4</v>
      </c>
      <c r="N8">
        <f>LEN(Table134681011[[#This Row],[First Name]])</f>
        <v>4</v>
      </c>
      <c r="O8" t="str">
        <f>PROPER(Table134681011[[#This Row],[First Name]])</f>
        <v>Alok</v>
      </c>
      <c r="P8" t="str">
        <f>UPPER(Table134681011[[#This Row],[First Name]])</f>
        <v>ALOK</v>
      </c>
      <c r="Q8" s="17" t="str">
        <f>SUBSTITUTE(Table134681011[[#This Row],[First Name]],"@","")</f>
        <v>Alok</v>
      </c>
      <c r="R8" s="17" t="str">
        <f>TRIM(Table134681011[[#This Row],[First Name]])</f>
        <v>Alok</v>
      </c>
      <c r="S8" s="17" t="str">
        <f>SUBSTITUTE(Table134681011[[#This Row],[First Name]],"u","i")</f>
        <v>Alok</v>
      </c>
    </row>
    <row r="9" spans="1:19" x14ac:dyDescent="0.3">
      <c r="A9" s="3">
        <v>5</v>
      </c>
      <c r="B9" s="3" t="s">
        <v>48</v>
      </c>
      <c r="C9" s="3" t="s">
        <v>67</v>
      </c>
      <c r="D9" s="1">
        <v>88</v>
      </c>
      <c r="E9" s="1">
        <v>93</v>
      </c>
      <c r="F9" s="1">
        <v>1</v>
      </c>
      <c r="G9" s="1">
        <v>89</v>
      </c>
      <c r="H9" s="1">
        <v>87</v>
      </c>
      <c r="I9">
        <f t="shared" si="0"/>
        <v>358</v>
      </c>
      <c r="J9">
        <f t="shared" si="1"/>
        <v>71.599999999999994</v>
      </c>
      <c r="K9">
        <f t="shared" si="2"/>
        <v>71.599999999999994</v>
      </c>
      <c r="L9" t="str">
        <f>IF(SUMIF(Table134681011[[#This Row],[Mathematics]]:Table134681011[[#This Row],[Social Science]],"&gt;=50",Table134681011[[#This Row],[Mathematics]]:Table134681011[[#This Row],[Social Science]])=SUM(Table134681011[[#This Row],[Mathematics]]:Table134681011[[#This Row],[Social Science]]),"Pass","Fail")</f>
        <v>Fail</v>
      </c>
      <c r="M9">
        <f>COUNTA(Table134681011[[#This Row],[Mathematics]]:Table134681011[[#This Row],[Social Science]])</f>
        <v>5</v>
      </c>
      <c r="N9">
        <f>LEN(Table134681011[[#This Row],[First Name]])</f>
        <v>12</v>
      </c>
      <c r="O9" t="str">
        <f>PROPER(Table134681011[[#This Row],[First Name]])</f>
        <v xml:space="preserve">        Riya</v>
      </c>
      <c r="P9" t="str">
        <f>UPPER(Table134681011[[#This Row],[First Name]])</f>
        <v xml:space="preserve">        RIYA</v>
      </c>
      <c r="Q9" s="17" t="str">
        <f>SUBSTITUTE(Table134681011[[#This Row],[First Name]],"@","")</f>
        <v xml:space="preserve">        Riya</v>
      </c>
      <c r="R9" s="17" t="str">
        <f>TRIM(Table134681011[[#This Row],[First Name]])</f>
        <v>Riya</v>
      </c>
      <c r="S9" s="17" t="str">
        <f>SUBSTITUTE(Table134681011[[#This Row],[First Name]],"u","i")</f>
        <v xml:space="preserve">        Riya</v>
      </c>
    </row>
    <row r="11" spans="1:19" x14ac:dyDescent="0.3">
      <c r="F11" s="12" t="s">
        <v>28</v>
      </c>
      <c r="G11">
        <f>COUNT(D5:H5)</f>
        <v>5</v>
      </c>
    </row>
    <row r="13" spans="1:19" x14ac:dyDescent="0.3">
      <c r="F13" s="12" t="s">
        <v>31</v>
      </c>
      <c r="G13">
        <f>COUNTIF(Table134681011[Is_Fail],"Pass")</f>
        <v>4</v>
      </c>
    </row>
    <row r="15" spans="1:19" x14ac:dyDescent="0.3">
      <c r="F15" s="12" t="s">
        <v>31</v>
      </c>
      <c r="G15">
        <f>COUNTIF(Table134681011[Is_Fail],"Fail")</f>
        <v>1</v>
      </c>
    </row>
    <row r="17" spans="6:7" x14ac:dyDescent="0.3">
      <c r="F17" s="12" t="s">
        <v>39</v>
      </c>
      <c r="G17">
        <f>VLOOKUP(A5,Table134681011[#All],6,FALSE)</f>
        <v>88</v>
      </c>
    </row>
  </sheetData>
  <mergeCells count="1">
    <mergeCell ref="A2:S2"/>
  </mergeCells>
  <conditionalFormatting sqref="L5:L9">
    <cfRule type="containsText" dxfId="8" priority="1" operator="containsText" text="Pass">
      <formula>NOT(ISERROR(SEARCH("Pass",L5)))</formula>
    </cfRule>
    <cfRule type="containsText" dxfId="7" priority="2" operator="containsText" text="Fail">
      <formula>NOT(ISERROR(SEARCH("Fail",L5)))</formula>
    </cfRule>
    <cfRule type="containsText" dxfId="6" priority="3" operator="containsText" text="Fail">
      <formula>NOT(ISERROR(SEARCH("Fail",L5)))</formula>
    </cfRule>
  </conditionalFormatting>
  <hyperlinks>
    <hyperlink ref="B7" r:id="rId1" xr:uid="{A61BB6B2-2197-478E-ADEB-8838C0F94F27}"/>
  </hyperlinks>
  <pageMargins left="0.7" right="0.7" top="0.75" bottom="0.75" header="0.3" footer="0.3"/>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DDD7E-8C5C-4EF2-ACC5-7473E88741FB}">
  <dimension ref="A1:S17"/>
  <sheetViews>
    <sheetView workbookViewId="0">
      <selection activeCell="C10" sqref="C10"/>
    </sheetView>
  </sheetViews>
  <sheetFormatPr defaultRowHeight="14.4" x14ac:dyDescent="0.3"/>
  <cols>
    <col min="1" max="2" width="14.33203125" bestFit="1" customWidth="1"/>
    <col min="3" max="3" width="14.21875" bestFit="1" customWidth="1"/>
    <col min="4" max="4" width="8.21875" bestFit="1" customWidth="1"/>
    <col min="5" max="5" width="7.33203125" bestFit="1" customWidth="1"/>
    <col min="6" max="6" width="6.88671875" bestFit="1" customWidth="1"/>
    <col min="7" max="7" width="8.77734375" bestFit="1" customWidth="1"/>
    <col min="8" max="8" width="7.33203125" bestFit="1" customWidth="1"/>
    <col min="9" max="9" width="5.21875" bestFit="1" customWidth="1"/>
    <col min="10" max="10" width="7.88671875" bestFit="1" customWidth="1"/>
    <col min="11" max="11" width="8.44140625" bestFit="1" customWidth="1"/>
    <col min="12" max="12" width="6.109375" bestFit="1" customWidth="1"/>
    <col min="13" max="13" width="14.109375" bestFit="1" customWidth="1"/>
    <col min="14" max="14" width="6.77734375" bestFit="1" customWidth="1"/>
    <col min="15" max="15" width="9.109375" bestFit="1" customWidth="1"/>
    <col min="16" max="16" width="10.77734375" bestFit="1" customWidth="1"/>
    <col min="17" max="17" width="9.109375" bestFit="1" customWidth="1"/>
    <col min="18" max="18" width="7.88671875" bestFit="1" customWidth="1"/>
    <col min="19" max="19" width="9.109375" bestFit="1" customWidth="1"/>
  </cols>
  <sheetData>
    <row r="1" spans="1:19" x14ac:dyDescent="0.3">
      <c r="A1" s="7"/>
      <c r="B1" s="7"/>
      <c r="C1" s="7"/>
      <c r="D1" s="7"/>
      <c r="E1" s="7"/>
      <c r="F1" s="10"/>
      <c r="G1" s="7" t="s">
        <v>63</v>
      </c>
      <c r="H1" s="7"/>
      <c r="I1" s="7"/>
      <c r="J1" s="7"/>
      <c r="K1" s="7"/>
      <c r="L1" s="7"/>
      <c r="M1" s="7"/>
      <c r="N1" s="19"/>
      <c r="O1" s="19"/>
      <c r="P1" s="19"/>
      <c r="Q1" s="19"/>
      <c r="R1" s="19"/>
      <c r="S1" s="19"/>
    </row>
    <row r="2" spans="1:19" x14ac:dyDescent="0.3">
      <c r="A2" s="9" t="s">
        <v>54</v>
      </c>
      <c r="B2" s="9"/>
      <c r="C2" s="9"/>
      <c r="D2" s="9"/>
      <c r="E2" s="9"/>
      <c r="F2" s="9"/>
      <c r="G2" s="9"/>
      <c r="H2" s="9"/>
      <c r="I2" s="9"/>
      <c r="J2" s="9"/>
      <c r="K2" s="9"/>
      <c r="L2" s="9"/>
      <c r="M2" s="9"/>
      <c r="N2" s="11"/>
      <c r="O2" s="11"/>
      <c r="P2" s="11"/>
      <c r="Q2" s="11"/>
      <c r="R2" s="11"/>
      <c r="S2" s="11"/>
    </row>
    <row r="4" spans="1:19" ht="28.8" x14ac:dyDescent="0.3">
      <c r="A4" s="5" t="s">
        <v>0</v>
      </c>
      <c r="B4" s="5" t="s">
        <v>1</v>
      </c>
      <c r="C4" s="5" t="s">
        <v>2</v>
      </c>
      <c r="D4" s="6" t="s">
        <v>3</v>
      </c>
      <c r="E4" s="6" t="s">
        <v>4</v>
      </c>
      <c r="F4" s="6" t="s">
        <v>5</v>
      </c>
      <c r="G4" s="6" t="s">
        <v>6</v>
      </c>
      <c r="H4" s="6" t="s">
        <v>7</v>
      </c>
      <c r="I4" s="6" t="s">
        <v>8</v>
      </c>
      <c r="J4" s="6" t="s">
        <v>20</v>
      </c>
      <c r="K4" s="6" t="s">
        <v>9</v>
      </c>
      <c r="L4" s="6" t="s">
        <v>24</v>
      </c>
      <c r="M4" s="6" t="s">
        <v>55</v>
      </c>
    </row>
    <row r="5" spans="1:19" x14ac:dyDescent="0.3">
      <c r="A5" s="3">
        <v>1</v>
      </c>
      <c r="B5" s="3" t="s">
        <v>60</v>
      </c>
      <c r="C5" s="3" t="s">
        <v>11</v>
      </c>
      <c r="D5" s="1">
        <v>85</v>
      </c>
      <c r="E5" s="1">
        <v>91</v>
      </c>
      <c r="F5" s="1">
        <v>88</v>
      </c>
      <c r="G5" s="1">
        <v>95</v>
      </c>
      <c r="H5" s="1">
        <v>82</v>
      </c>
      <c r="I5">
        <f>SUM(D5:H5)</f>
        <v>441</v>
      </c>
      <c r="J5">
        <f>I5/5</f>
        <v>88.2</v>
      </c>
      <c r="K5">
        <f>(I5/500) *100</f>
        <v>88.2</v>
      </c>
      <c r="L5" t="str">
        <f>IF(SUMIF(Table13468101112[[#This Row],[Mathematics]]:Table13468101112[[#This Row],[Social Science]],"&gt;=50",Table13468101112[[#This Row],[Mathematics]]:Table13468101112[[#This Row],[Social Science]])=SUM(Table13468101112[[#This Row],[Mathematics]]:Table13468101112[[#This Row],[Social Science]]),"Pass","Fail")</f>
        <v>Pass</v>
      </c>
      <c r="M5" t="str">
        <f>_xlfn.CONCAT(Table13468101112[[#This Row],[First Name]],Table13468101112[[#This Row],[Last Name]])</f>
        <v>Sanskriti Saxena</v>
      </c>
    </row>
    <row r="6" spans="1:19" x14ac:dyDescent="0.3">
      <c r="A6" s="3">
        <v>2</v>
      </c>
      <c r="B6" s="3" t="s">
        <v>59</v>
      </c>
      <c r="C6" s="3" t="s">
        <v>11</v>
      </c>
      <c r="D6" s="1">
        <v>78</v>
      </c>
      <c r="E6" s="1">
        <v>84</v>
      </c>
      <c r="F6" s="1">
        <v>90</v>
      </c>
      <c r="G6" s="1">
        <v>88</v>
      </c>
      <c r="H6" s="1">
        <v>76</v>
      </c>
      <c r="I6">
        <f t="shared" ref="I6:I9" si="0">SUM(D6:H6)</f>
        <v>416</v>
      </c>
      <c r="J6">
        <f t="shared" ref="J6:J9" si="1">I6/5</f>
        <v>83.2</v>
      </c>
      <c r="K6">
        <f t="shared" ref="K6:K9" si="2">(I6/500) *100</f>
        <v>83.2</v>
      </c>
      <c r="L6" t="str">
        <f>IF(SUMIF(Table13468101112[[#This Row],[Mathematics]]:Table13468101112[[#This Row],[Social Science]],"&gt;=50",Table13468101112[[#This Row],[Mathematics]]:Table13468101112[[#This Row],[Social Science]])=SUM(Table13468101112[[#This Row],[Mathematics]]:Table13468101112[[#This Row],[Social Science]]),"Pass","Fail")</f>
        <v>Pass</v>
      </c>
      <c r="M6" t="str">
        <f>_xlfn.CONCAT(Table13468101112[[#This Row],[First Name]],Table13468101112[[#This Row],[Last Name]])</f>
        <v>Anu Saxena</v>
      </c>
    </row>
    <row r="7" spans="1:19" x14ac:dyDescent="0.3">
      <c r="A7" s="3">
        <v>3</v>
      </c>
      <c r="B7" s="18" t="s">
        <v>58</v>
      </c>
      <c r="C7" s="3" t="s">
        <v>11</v>
      </c>
      <c r="D7" s="1">
        <v>92</v>
      </c>
      <c r="E7" s="1">
        <v>89</v>
      </c>
      <c r="F7" s="1">
        <v>85</v>
      </c>
      <c r="G7" s="1">
        <v>94</v>
      </c>
      <c r="H7" s="1">
        <v>90</v>
      </c>
      <c r="I7">
        <f t="shared" si="0"/>
        <v>450</v>
      </c>
      <c r="J7">
        <f t="shared" si="1"/>
        <v>90</v>
      </c>
      <c r="K7">
        <f t="shared" si="2"/>
        <v>90</v>
      </c>
      <c r="L7" t="str">
        <f>IF(SUMIF(Table13468101112[[#This Row],[Mathematics]]:Table13468101112[[#This Row],[Social Science]],"&gt;=50",Table13468101112[[#This Row],[Mathematics]]:Table13468101112[[#This Row],[Social Science]])=SUM(Table13468101112[[#This Row],[Mathematics]]:Table13468101112[[#This Row],[Social Science]]),"Pass","Fail")</f>
        <v>Pass</v>
      </c>
      <c r="M7" t="str">
        <f>_xlfn.CONCAT(Table13468101112[[#This Row],[First Name]],Table13468101112[[#This Row],[Last Name]])</f>
        <v>Shubh Saxena</v>
      </c>
    </row>
    <row r="8" spans="1:19" x14ac:dyDescent="0.3">
      <c r="A8" s="3">
        <v>4</v>
      </c>
      <c r="B8" s="3" t="s">
        <v>56</v>
      </c>
      <c r="C8" s="3" t="s">
        <v>15</v>
      </c>
      <c r="D8" s="1">
        <v>74</v>
      </c>
      <c r="E8" s="1"/>
      <c r="F8" s="1">
        <v>79</v>
      </c>
      <c r="G8" s="1">
        <v>86</v>
      </c>
      <c r="H8" s="1">
        <v>83</v>
      </c>
      <c r="I8">
        <f t="shared" si="0"/>
        <v>322</v>
      </c>
      <c r="J8">
        <f t="shared" si="1"/>
        <v>64.400000000000006</v>
      </c>
      <c r="K8">
        <f t="shared" si="2"/>
        <v>64.400000000000006</v>
      </c>
      <c r="L8" t="str">
        <f>IF(SUMIF(Table13468101112[[#This Row],[Mathematics]]:Table13468101112[[#This Row],[Social Science]],"&gt;=50",Table13468101112[[#This Row],[Mathematics]]:Table13468101112[[#This Row],[Social Science]])=SUM(Table13468101112[[#This Row],[Mathematics]]:Table13468101112[[#This Row],[Social Science]]),"Pass","Fail")</f>
        <v>Pass</v>
      </c>
      <c r="M8" t="str">
        <f>_xlfn.CONCAT(Table13468101112[[#This Row],[First Name]],Table13468101112[[#This Row],[Last Name]])</f>
        <v>Alok Singh</v>
      </c>
    </row>
    <row r="9" spans="1:19" x14ac:dyDescent="0.3">
      <c r="A9" s="3">
        <v>5</v>
      </c>
      <c r="B9" s="3" t="s">
        <v>57</v>
      </c>
      <c r="C9" s="3" t="s">
        <v>67</v>
      </c>
      <c r="D9" s="1">
        <v>88</v>
      </c>
      <c r="E9" s="1">
        <v>93</v>
      </c>
      <c r="F9" s="1">
        <v>1</v>
      </c>
      <c r="G9" s="1">
        <v>89</v>
      </c>
      <c r="H9" s="1">
        <v>87</v>
      </c>
      <c r="I9">
        <f t="shared" si="0"/>
        <v>358</v>
      </c>
      <c r="J9">
        <f t="shared" si="1"/>
        <v>71.599999999999994</v>
      </c>
      <c r="K9">
        <f t="shared" si="2"/>
        <v>71.599999999999994</v>
      </c>
      <c r="L9" t="str">
        <f>IF(SUMIF(Table13468101112[[#This Row],[Mathematics]]:Table13468101112[[#This Row],[Social Science]],"&gt;=50",Table13468101112[[#This Row],[Mathematics]]:Table13468101112[[#This Row],[Social Science]])=SUM(Table13468101112[[#This Row],[Mathematics]]:Table13468101112[[#This Row],[Social Science]]),"Pass","Fail")</f>
        <v>Fail</v>
      </c>
      <c r="M9" t="str">
        <f>_xlfn.CONCAT(Table13468101112[[#This Row],[First Name]],Table13468101112[[#This Row],[Last Name]])</f>
        <v>Riya pal</v>
      </c>
    </row>
    <row r="11" spans="1:19" x14ac:dyDescent="0.3">
      <c r="F11" s="12"/>
    </row>
    <row r="13" spans="1:19" x14ac:dyDescent="0.3">
      <c r="F13" s="12"/>
    </row>
    <row r="15" spans="1:19" x14ac:dyDescent="0.3">
      <c r="F15" s="12"/>
    </row>
    <row r="17" spans="6:6" x14ac:dyDescent="0.3">
      <c r="F17" s="12"/>
    </row>
  </sheetData>
  <mergeCells count="1">
    <mergeCell ref="A2:M2"/>
  </mergeCells>
  <conditionalFormatting sqref="L5:L9">
    <cfRule type="containsText" dxfId="5" priority="1" operator="containsText" text="Pass">
      <formula>NOT(ISERROR(SEARCH("Pass",L5)))</formula>
    </cfRule>
    <cfRule type="containsText" dxfId="4" priority="2" operator="containsText" text="Fail">
      <formula>NOT(ISERROR(SEARCH("Fail",L5)))</formula>
    </cfRule>
    <cfRule type="containsText" dxfId="3" priority="3" operator="containsText" text="Fail">
      <formula>NOT(ISERROR(SEARCH("Fail",L5)))</formula>
    </cfRule>
  </conditionalFormatting>
  <hyperlinks>
    <hyperlink ref="B7" r:id="rId1" display="Shubh@" xr:uid="{066F6C5B-7CED-4D02-B1C6-09BFA9EEA7B0}"/>
  </hyperlinks>
  <pageMargins left="0.7" right="0.7" top="0.75" bottom="0.75" header="0.3" footer="0.3"/>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F65A-4E03-4199-A03D-224F6AD263DA}">
  <dimension ref="A1:O9"/>
  <sheetViews>
    <sheetView workbookViewId="0">
      <selection activeCell="K29" sqref="K29"/>
    </sheetView>
  </sheetViews>
  <sheetFormatPr defaultRowHeight="14.4" x14ac:dyDescent="0.3"/>
  <cols>
    <col min="13" max="13" width="14.109375" bestFit="1" customWidth="1"/>
  </cols>
  <sheetData>
    <row r="1" spans="1:15" x14ac:dyDescent="0.3">
      <c r="A1" s="7"/>
      <c r="B1" s="7"/>
      <c r="C1" s="7"/>
      <c r="D1" s="7"/>
      <c r="E1" s="7"/>
      <c r="F1" s="10"/>
      <c r="G1" s="7" t="s">
        <v>62</v>
      </c>
      <c r="H1" s="7"/>
      <c r="I1" s="7"/>
      <c r="J1" s="7"/>
      <c r="K1" s="7"/>
      <c r="L1" s="7"/>
      <c r="M1" s="7"/>
    </row>
    <row r="2" spans="1:15" x14ac:dyDescent="0.3">
      <c r="A2" s="9" t="s">
        <v>61</v>
      </c>
      <c r="B2" s="9"/>
      <c r="C2" s="9"/>
      <c r="D2" s="9"/>
      <c r="E2" s="9"/>
      <c r="F2" s="9"/>
      <c r="G2" s="9"/>
      <c r="H2" s="9"/>
      <c r="I2" s="9"/>
      <c r="J2" s="9"/>
      <c r="K2" s="9"/>
      <c r="L2" s="9"/>
      <c r="M2" s="9"/>
    </row>
    <row r="4" spans="1:15" ht="28.8" x14ac:dyDescent="0.3">
      <c r="A4" s="5" t="s">
        <v>0</v>
      </c>
      <c r="B4" s="5" t="s">
        <v>1</v>
      </c>
      <c r="C4" s="5" t="s">
        <v>2</v>
      </c>
      <c r="D4" s="6" t="s">
        <v>3</v>
      </c>
      <c r="E4" s="6" t="s">
        <v>4</v>
      </c>
      <c r="F4" s="6" t="s">
        <v>5</v>
      </c>
      <c r="G4" s="6" t="s">
        <v>6</v>
      </c>
      <c r="H4" s="6" t="s">
        <v>7</v>
      </c>
      <c r="I4" s="6" t="s">
        <v>8</v>
      </c>
      <c r="J4" s="6" t="s">
        <v>20</v>
      </c>
      <c r="K4" s="6" t="s">
        <v>9</v>
      </c>
      <c r="L4" s="6" t="s">
        <v>24</v>
      </c>
      <c r="M4" s="6" t="s">
        <v>55</v>
      </c>
      <c r="N4" s="6" t="s">
        <v>64</v>
      </c>
      <c r="O4" s="6" t="s">
        <v>65</v>
      </c>
    </row>
    <row r="5" spans="1:15" x14ac:dyDescent="0.3">
      <c r="A5" s="3">
        <v>1</v>
      </c>
      <c r="B5" s="3" t="s">
        <v>10</v>
      </c>
      <c r="C5" s="3" t="s">
        <v>11</v>
      </c>
      <c r="D5" s="1">
        <v>85</v>
      </c>
      <c r="E5" s="1">
        <v>91</v>
      </c>
      <c r="F5" s="1">
        <v>88</v>
      </c>
      <c r="G5" s="1">
        <v>95</v>
      </c>
      <c r="H5" s="1">
        <v>82</v>
      </c>
      <c r="I5">
        <f>SUM(D5:H5)</f>
        <v>441</v>
      </c>
      <c r="J5">
        <f>I5/5</f>
        <v>88.2</v>
      </c>
      <c r="K5">
        <f>(I5/500) *100</f>
        <v>88.2</v>
      </c>
      <c r="L5" t="str">
        <f>IF(SUMIF(Table1346810111213[[#This Row],[Mathematics]]:Table1346810111213[[#This Row],[Social Science]],"&gt;=50",Table1346810111213[[#This Row],[Mathematics]]:Table1346810111213[[#This Row],[Social Science]])=SUM(Table1346810111213[[#This Row],[Mathematics]]:Table1346810111213[[#This Row],[Social Science]]),"Pass","Fail")</f>
        <v>Pass</v>
      </c>
      <c r="M5" t="str">
        <f>_xlfn.TEXTJOIN(" ",TRUE,Table1346810111213[[#This Row],[First Name]],Table1346810111213[[#This Row],[Last Name]])</f>
        <v>Sanskriti Saxena</v>
      </c>
      <c r="N5" t="str">
        <f>LEFT(Table1346810111213[[#This Row],[Full_Name]],FIND(" ",Table1346810111213[[#This Row],[Full_Name]])-1)</f>
        <v>Sanskriti</v>
      </c>
      <c r="O5" s="17" t="str">
        <f>RIGHT(Table1346810111213[[#This Row],[Full_Name]],LEN(Table1346810111213[[#This Row],[Full_Name]])-FIND(" ",Table1346810111213[[#This Row],[Full_Name]]))</f>
        <v>Saxena</v>
      </c>
    </row>
    <row r="6" spans="1:15" x14ac:dyDescent="0.3">
      <c r="A6" s="3">
        <v>2</v>
      </c>
      <c r="B6" s="3" t="s">
        <v>12</v>
      </c>
      <c r="C6" s="3" t="s">
        <v>11</v>
      </c>
      <c r="D6" s="1">
        <v>78</v>
      </c>
      <c r="E6" s="1">
        <v>84</v>
      </c>
      <c r="F6" s="1">
        <v>90</v>
      </c>
      <c r="G6" s="1">
        <v>88</v>
      </c>
      <c r="H6" s="1">
        <v>76</v>
      </c>
      <c r="I6">
        <f t="shared" ref="I6:I9" si="0">SUM(D6:H6)</f>
        <v>416</v>
      </c>
      <c r="J6">
        <f t="shared" ref="J6:J9" si="1">I6/5</f>
        <v>83.2</v>
      </c>
      <c r="K6">
        <f t="shared" ref="K6:K9" si="2">(I6/500) *100</f>
        <v>83.2</v>
      </c>
      <c r="L6" t="str">
        <f>IF(SUMIF(Table1346810111213[[#This Row],[Mathematics]]:Table1346810111213[[#This Row],[Social Science]],"&gt;=50",Table1346810111213[[#This Row],[Mathematics]]:Table1346810111213[[#This Row],[Social Science]])=SUM(Table1346810111213[[#This Row],[Mathematics]]:Table1346810111213[[#This Row],[Social Science]]),"Pass","Fail")</f>
        <v>Pass</v>
      </c>
      <c r="M6" t="str">
        <f>_xlfn.TEXTJOIN(" ",TRUE,Table1346810111213[[#This Row],[First Name]],Table1346810111213[[#This Row],[Last Name]])</f>
        <v>Anu Saxena</v>
      </c>
      <c r="N6" t="str">
        <f>LEFT(Table1346810111213[[#This Row],[Full_Name]],FIND(" ",Table1346810111213[[#This Row],[Full_Name]])-1)</f>
        <v>Anu</v>
      </c>
      <c r="O6" s="17" t="str">
        <f>RIGHT(Table1346810111213[[#This Row],[Full_Name]],LEN(Table1346810111213[[#This Row],[Full_Name]])-FIND(" ",Table1346810111213[[#This Row],[Full_Name]]))</f>
        <v>Saxena</v>
      </c>
    </row>
    <row r="7" spans="1:15" x14ac:dyDescent="0.3">
      <c r="A7" s="3">
        <v>3</v>
      </c>
      <c r="B7" s="18" t="s">
        <v>13</v>
      </c>
      <c r="C7" s="3" t="s">
        <v>11</v>
      </c>
      <c r="D7" s="1">
        <v>92</v>
      </c>
      <c r="E7" s="1">
        <v>89</v>
      </c>
      <c r="F7" s="1">
        <v>85</v>
      </c>
      <c r="G7" s="1">
        <v>94</v>
      </c>
      <c r="H7" s="1">
        <v>90</v>
      </c>
      <c r="I7">
        <f t="shared" si="0"/>
        <v>450</v>
      </c>
      <c r="J7">
        <f t="shared" si="1"/>
        <v>90</v>
      </c>
      <c r="K7">
        <f t="shared" si="2"/>
        <v>90</v>
      </c>
      <c r="L7" t="str">
        <f>IF(SUMIF(Table1346810111213[[#This Row],[Mathematics]]:Table1346810111213[[#This Row],[Social Science]],"&gt;=50",Table1346810111213[[#This Row],[Mathematics]]:Table1346810111213[[#This Row],[Social Science]])=SUM(Table1346810111213[[#This Row],[Mathematics]]:Table1346810111213[[#This Row],[Social Science]]),"Pass","Fail")</f>
        <v>Pass</v>
      </c>
      <c r="M7" t="str">
        <f>_xlfn.TEXTJOIN(" ",TRUE,Table1346810111213[[#This Row],[First Name]],Table1346810111213[[#This Row],[Last Name]])</f>
        <v>Shubh Saxena</v>
      </c>
      <c r="N7" t="str">
        <f>LEFT(Table1346810111213[[#This Row],[Full_Name]],FIND(" ",Table1346810111213[[#This Row],[Full_Name]])-1)</f>
        <v>Shubh</v>
      </c>
      <c r="O7" s="17" t="str">
        <f>RIGHT(Table1346810111213[[#This Row],[Full_Name]],LEN(Table1346810111213[[#This Row],[Full_Name]])-FIND(" ",Table1346810111213[[#This Row],[Full_Name]]))</f>
        <v>Saxena</v>
      </c>
    </row>
    <row r="8" spans="1:15" x14ac:dyDescent="0.3">
      <c r="A8" s="3">
        <v>4</v>
      </c>
      <c r="B8" s="3" t="s">
        <v>14</v>
      </c>
      <c r="C8" s="3" t="s">
        <v>15</v>
      </c>
      <c r="D8" s="1">
        <v>74</v>
      </c>
      <c r="E8" s="1"/>
      <c r="F8" s="1">
        <v>79</v>
      </c>
      <c r="G8" s="1">
        <v>86</v>
      </c>
      <c r="H8" s="1">
        <v>83</v>
      </c>
      <c r="I8">
        <f t="shared" si="0"/>
        <v>322</v>
      </c>
      <c r="J8">
        <f t="shared" si="1"/>
        <v>64.400000000000006</v>
      </c>
      <c r="K8">
        <f t="shared" si="2"/>
        <v>64.400000000000006</v>
      </c>
      <c r="L8" t="str">
        <f>IF(SUMIF(Table1346810111213[[#This Row],[Mathematics]]:Table1346810111213[[#This Row],[Social Science]],"&gt;=50",Table1346810111213[[#This Row],[Mathematics]]:Table1346810111213[[#This Row],[Social Science]])=SUM(Table1346810111213[[#This Row],[Mathematics]]:Table1346810111213[[#This Row],[Social Science]]),"Pass","Fail")</f>
        <v>Pass</v>
      </c>
      <c r="M8" t="str">
        <f>_xlfn.TEXTJOIN(" ",TRUE,Table1346810111213[[#This Row],[First Name]],Table1346810111213[[#This Row],[Last Name]])</f>
        <v>Alok Singh</v>
      </c>
      <c r="N8" t="str">
        <f>LEFT(Table1346810111213[[#This Row],[Full_Name]],FIND(" ",Table1346810111213[[#This Row],[Full_Name]])-1)</f>
        <v>Alok</v>
      </c>
      <c r="O8" s="17" t="str">
        <f>RIGHT(Table1346810111213[[#This Row],[Full_Name]],LEN(Table1346810111213[[#This Row],[Full_Name]])-FIND(" ",Table1346810111213[[#This Row],[Full_Name]]))</f>
        <v>Singh</v>
      </c>
    </row>
    <row r="9" spans="1:15" x14ac:dyDescent="0.3">
      <c r="A9" s="3">
        <v>5</v>
      </c>
      <c r="B9" s="3" t="s">
        <v>16</v>
      </c>
      <c r="C9" s="3" t="s">
        <v>66</v>
      </c>
      <c r="D9" s="1">
        <v>88</v>
      </c>
      <c r="E9" s="1">
        <v>93</v>
      </c>
      <c r="F9" s="1">
        <v>1</v>
      </c>
      <c r="G9" s="1">
        <v>89</v>
      </c>
      <c r="H9" s="1">
        <v>87</v>
      </c>
      <c r="I9">
        <f t="shared" si="0"/>
        <v>358</v>
      </c>
      <c r="J9">
        <f t="shared" si="1"/>
        <v>71.599999999999994</v>
      </c>
      <c r="K9">
        <f t="shared" si="2"/>
        <v>71.599999999999994</v>
      </c>
      <c r="L9" t="str">
        <f>IF(SUMIF(Table1346810111213[[#This Row],[Mathematics]]:Table1346810111213[[#This Row],[Social Science]],"&gt;=50",Table1346810111213[[#This Row],[Mathematics]]:Table1346810111213[[#This Row],[Social Science]])=SUM(Table1346810111213[[#This Row],[Mathematics]]:Table1346810111213[[#This Row],[Social Science]]),"Pass","Fail")</f>
        <v>Fail</v>
      </c>
      <c r="M9" t="str">
        <f>_xlfn.TEXTJOIN(" ",TRUE,Table1346810111213[[#This Row],[First Name]],Table1346810111213[[#This Row],[Last Name]])</f>
        <v>Riya Pal</v>
      </c>
      <c r="N9" t="str">
        <f>LEFT(Table1346810111213[[#This Row],[Full_Name]],FIND(" ",Table1346810111213[[#This Row],[Full_Name]])-1)</f>
        <v>Riya</v>
      </c>
      <c r="O9" s="17" t="str">
        <f>RIGHT(Table1346810111213[[#This Row],[Full_Name]],LEN(Table1346810111213[[#This Row],[Full_Name]])-FIND(" ",Table1346810111213[[#This Row],[Full_Name]]))</f>
        <v>Pal</v>
      </c>
    </row>
  </sheetData>
  <mergeCells count="1">
    <mergeCell ref="A2:M2"/>
  </mergeCells>
  <conditionalFormatting sqref="L5:L9">
    <cfRule type="containsText" dxfId="2" priority="1" operator="containsText" text="Pass">
      <formula>NOT(ISERROR(SEARCH("Pass",L5)))</formula>
    </cfRule>
    <cfRule type="containsText" dxfId="1" priority="2" operator="containsText" text="Fail">
      <formula>NOT(ISERROR(SEARCH("Fail",L5)))</formula>
    </cfRule>
    <cfRule type="containsText" dxfId="0" priority="3" operator="containsText" text="Fail">
      <formula>NOT(ISERROR(SEARCH("Fail",L5)))</formula>
    </cfRule>
  </conditionalFormatting>
  <hyperlinks>
    <hyperlink ref="B7" r:id="rId1" display="Shubh@" xr:uid="{9ADE3079-B006-4374-AEBA-89021F6F4A4E}"/>
  </hyperlinks>
  <pageMargins left="0.7" right="0.7" top="0.75" bottom="0.75" header="0.3" footer="0.3"/>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35A5E-213B-4B9C-BB0C-AFA6CED96AFB}">
  <dimension ref="A1:N28"/>
  <sheetViews>
    <sheetView zoomScale="85" workbookViewId="0">
      <selection activeCell="A13" sqref="A13"/>
    </sheetView>
  </sheetViews>
  <sheetFormatPr defaultRowHeight="14.4" x14ac:dyDescent="0.3"/>
  <cols>
    <col min="1" max="1" width="11.44140625" bestFit="1" customWidth="1"/>
    <col min="2" max="2" width="19.5546875" bestFit="1" customWidth="1"/>
    <col min="3" max="3" width="14.44140625" bestFit="1" customWidth="1"/>
    <col min="4" max="4" width="14.109375" bestFit="1" customWidth="1"/>
    <col min="5" max="5" width="16.6640625" bestFit="1" customWidth="1"/>
    <col min="6" max="6" width="20.33203125" bestFit="1" customWidth="1"/>
    <col min="9" max="9" width="11.44140625" bestFit="1" customWidth="1"/>
    <col min="10" max="10" width="19.5546875" bestFit="1" customWidth="1"/>
    <col min="11" max="11" width="14.44140625" bestFit="1" customWidth="1"/>
    <col min="12" max="12" width="14.109375" bestFit="1" customWidth="1"/>
    <col min="13" max="13" width="16.6640625" bestFit="1" customWidth="1"/>
    <col min="14" max="14" width="20.33203125" bestFit="1" customWidth="1"/>
  </cols>
  <sheetData>
    <row r="1" spans="1:14" x14ac:dyDescent="0.3">
      <c r="A1" s="7"/>
      <c r="B1" s="7"/>
      <c r="C1" s="7"/>
      <c r="D1" s="7"/>
      <c r="E1" s="7"/>
      <c r="F1" s="10"/>
      <c r="G1" s="7" t="s">
        <v>78</v>
      </c>
      <c r="H1" s="7"/>
      <c r="I1" s="7"/>
      <c r="J1" s="7"/>
      <c r="K1" s="7"/>
      <c r="L1" s="7"/>
      <c r="M1" s="7"/>
      <c r="N1" s="7"/>
    </row>
    <row r="2" spans="1:14" x14ac:dyDescent="0.3">
      <c r="A2" s="9" t="s">
        <v>82</v>
      </c>
      <c r="B2" s="9"/>
      <c r="C2" s="9"/>
      <c r="D2" s="9"/>
      <c r="E2" s="9"/>
      <c r="F2" s="9"/>
      <c r="G2" s="9"/>
      <c r="H2" s="9"/>
      <c r="I2" s="9"/>
      <c r="J2" s="9"/>
      <c r="K2" s="9"/>
      <c r="L2" s="9"/>
      <c r="M2" s="9"/>
      <c r="N2" s="9"/>
    </row>
    <row r="6" spans="1:14" x14ac:dyDescent="0.3">
      <c r="A6" t="s">
        <v>68</v>
      </c>
      <c r="B6" t="s">
        <v>69</v>
      </c>
      <c r="C6" t="s">
        <v>70</v>
      </c>
      <c r="D6" t="s">
        <v>71</v>
      </c>
      <c r="E6" t="s">
        <v>72</v>
      </c>
      <c r="I6" s="20" t="s">
        <v>80</v>
      </c>
      <c r="J6" t="s">
        <v>68</v>
      </c>
      <c r="K6" t="s">
        <v>69</v>
      </c>
      <c r="L6" t="s">
        <v>70</v>
      </c>
      <c r="M6" t="s">
        <v>71</v>
      </c>
      <c r="N6" t="s">
        <v>72</v>
      </c>
    </row>
    <row r="7" spans="1:14" x14ac:dyDescent="0.3">
      <c r="A7" s="17">
        <v>417</v>
      </c>
      <c r="B7" s="17">
        <v>357</v>
      </c>
      <c r="C7" s="17">
        <v>343</v>
      </c>
      <c r="D7" s="17">
        <v>452</v>
      </c>
      <c r="E7" s="17">
        <v>418</v>
      </c>
      <c r="I7" s="21" t="s">
        <v>73</v>
      </c>
      <c r="J7" s="17">
        <v>88</v>
      </c>
      <c r="K7" s="17">
        <v>93</v>
      </c>
      <c r="L7" s="17">
        <v>1</v>
      </c>
      <c r="M7" s="17">
        <v>89</v>
      </c>
      <c r="N7" s="17">
        <v>87</v>
      </c>
    </row>
    <row r="8" spans="1:14" x14ac:dyDescent="0.3">
      <c r="I8" s="21" t="s">
        <v>74</v>
      </c>
      <c r="J8" s="17">
        <v>329</v>
      </c>
      <c r="K8" s="17">
        <v>264</v>
      </c>
      <c r="L8" s="17">
        <v>342</v>
      </c>
      <c r="M8" s="17">
        <v>363</v>
      </c>
      <c r="N8" s="17">
        <v>331</v>
      </c>
    </row>
    <row r="9" spans="1:14" x14ac:dyDescent="0.3">
      <c r="A9">
        <f>GETPIVOTDATA("Sum of Mathematics",$A$6)</f>
        <v>417</v>
      </c>
      <c r="B9">
        <f>GETPIVOTDATA("Sum of Science",$A$6)</f>
        <v>357</v>
      </c>
      <c r="C9">
        <f>GETPIVOTDATA("Sum of English",$A$6)</f>
        <v>343</v>
      </c>
      <c r="D9">
        <f>GETPIVOTDATA("Sum of Computer",$A$6)</f>
        <v>452</v>
      </c>
      <c r="E9">
        <f>GETPIVOTDATA("Sum of Social Science",$A$6)</f>
        <v>418</v>
      </c>
      <c r="I9" s="21" t="s">
        <v>75</v>
      </c>
      <c r="J9" s="17">
        <v>417</v>
      </c>
      <c r="K9" s="17">
        <v>357</v>
      </c>
      <c r="L9" s="17">
        <v>343</v>
      </c>
      <c r="M9" s="17">
        <v>452</v>
      </c>
      <c r="N9" s="17">
        <v>418</v>
      </c>
    </row>
    <row r="12" spans="1:14" x14ac:dyDescent="0.3">
      <c r="A12" s="20" t="s">
        <v>79</v>
      </c>
      <c r="B12" t="s">
        <v>76</v>
      </c>
      <c r="C12" t="s">
        <v>77</v>
      </c>
    </row>
    <row r="13" spans="1:14" x14ac:dyDescent="0.3">
      <c r="A13" s="21" t="s">
        <v>14</v>
      </c>
      <c r="B13" s="17">
        <v>322</v>
      </c>
      <c r="C13" s="17">
        <v>64.400000000000006</v>
      </c>
    </row>
    <row r="14" spans="1:14" x14ac:dyDescent="0.3">
      <c r="A14" s="21" t="s">
        <v>12</v>
      </c>
      <c r="B14" s="17">
        <v>416</v>
      </c>
      <c r="C14" s="17">
        <v>83.2</v>
      </c>
    </row>
    <row r="15" spans="1:14" x14ac:dyDescent="0.3">
      <c r="A15" s="21" t="s">
        <v>16</v>
      </c>
      <c r="B15" s="17">
        <v>358</v>
      </c>
      <c r="C15" s="17">
        <v>71.599999999999994</v>
      </c>
    </row>
    <row r="16" spans="1:14" x14ac:dyDescent="0.3">
      <c r="A16" s="21" t="s">
        <v>10</v>
      </c>
      <c r="B16" s="17">
        <v>441</v>
      </c>
      <c r="C16" s="17">
        <v>88.2</v>
      </c>
    </row>
    <row r="17" spans="1:6" x14ac:dyDescent="0.3">
      <c r="A17" s="21" t="s">
        <v>13</v>
      </c>
      <c r="B17" s="17">
        <v>450</v>
      </c>
      <c r="C17" s="17">
        <v>90</v>
      </c>
    </row>
    <row r="18" spans="1:6" x14ac:dyDescent="0.3">
      <c r="A18" s="21" t="s">
        <v>75</v>
      </c>
      <c r="B18" s="17">
        <v>1987</v>
      </c>
      <c r="C18" s="17">
        <v>397.40000000000003</v>
      </c>
    </row>
    <row r="22" spans="1:6" x14ac:dyDescent="0.3">
      <c r="A22" s="20" t="s">
        <v>79</v>
      </c>
      <c r="B22" t="s">
        <v>68</v>
      </c>
      <c r="C22" t="s">
        <v>69</v>
      </c>
      <c r="D22" t="s">
        <v>70</v>
      </c>
      <c r="E22" t="s">
        <v>71</v>
      </c>
      <c r="F22" t="s">
        <v>72</v>
      </c>
    </row>
    <row r="23" spans="1:6" x14ac:dyDescent="0.3">
      <c r="A23" s="21" t="s">
        <v>14</v>
      </c>
      <c r="B23" s="17">
        <v>74</v>
      </c>
      <c r="C23" s="17"/>
      <c r="D23" s="17">
        <v>79</v>
      </c>
      <c r="E23" s="17">
        <v>86</v>
      </c>
      <c r="F23" s="17">
        <v>83</v>
      </c>
    </row>
    <row r="24" spans="1:6" x14ac:dyDescent="0.3">
      <c r="A24" s="21" t="s">
        <v>12</v>
      </c>
      <c r="B24" s="17">
        <v>78</v>
      </c>
      <c r="C24" s="17">
        <v>84</v>
      </c>
      <c r="D24" s="17">
        <v>90</v>
      </c>
      <c r="E24" s="17">
        <v>88</v>
      </c>
      <c r="F24" s="17">
        <v>76</v>
      </c>
    </row>
    <row r="25" spans="1:6" x14ac:dyDescent="0.3">
      <c r="A25" s="21" t="s">
        <v>16</v>
      </c>
      <c r="B25" s="17">
        <v>88</v>
      </c>
      <c r="C25" s="17">
        <v>93</v>
      </c>
      <c r="D25" s="17">
        <v>1</v>
      </c>
      <c r="E25" s="17">
        <v>89</v>
      </c>
      <c r="F25" s="17">
        <v>87</v>
      </c>
    </row>
    <row r="26" spans="1:6" x14ac:dyDescent="0.3">
      <c r="A26" s="21" t="s">
        <v>10</v>
      </c>
      <c r="B26" s="17">
        <v>85</v>
      </c>
      <c r="C26" s="17">
        <v>91</v>
      </c>
      <c r="D26" s="17">
        <v>88</v>
      </c>
      <c r="E26" s="17">
        <v>95</v>
      </c>
      <c r="F26" s="17">
        <v>82</v>
      </c>
    </row>
    <row r="27" spans="1:6" x14ac:dyDescent="0.3">
      <c r="A27" s="21" t="s">
        <v>13</v>
      </c>
      <c r="B27" s="17">
        <v>92</v>
      </c>
      <c r="C27" s="17">
        <v>89</v>
      </c>
      <c r="D27" s="17">
        <v>85</v>
      </c>
      <c r="E27" s="17">
        <v>94</v>
      </c>
      <c r="F27" s="17">
        <v>90</v>
      </c>
    </row>
    <row r="28" spans="1:6" x14ac:dyDescent="0.3">
      <c r="A28" s="21" t="s">
        <v>75</v>
      </c>
      <c r="B28" s="17">
        <v>417</v>
      </c>
      <c r="C28" s="17">
        <v>357</v>
      </c>
      <c r="D28" s="17">
        <v>343</v>
      </c>
      <c r="E28" s="17">
        <v>452</v>
      </c>
      <c r="F28" s="17">
        <v>418</v>
      </c>
    </row>
  </sheetData>
  <mergeCells count="1">
    <mergeCell ref="A2:N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5CDBE-2E08-4A83-B8ED-1DF33D8E2EF9}">
  <dimension ref="A1:Y37"/>
  <sheetViews>
    <sheetView zoomScale="64" workbookViewId="0">
      <selection activeCell="A2" sqref="A2:Y2"/>
    </sheetView>
  </sheetViews>
  <sheetFormatPr defaultRowHeight="14.4" x14ac:dyDescent="0.3"/>
  <sheetData>
    <row r="1" spans="1:25" x14ac:dyDescent="0.3">
      <c r="A1" s="23" t="s">
        <v>84</v>
      </c>
      <c r="B1" s="23"/>
      <c r="C1" s="23"/>
      <c r="D1" s="23"/>
      <c r="E1" s="23"/>
      <c r="F1" s="23"/>
      <c r="G1" s="23"/>
      <c r="H1" s="23"/>
      <c r="I1" s="23"/>
      <c r="J1" s="23"/>
      <c r="K1" s="23"/>
      <c r="L1" s="23"/>
      <c r="M1" s="23"/>
      <c r="N1" s="23"/>
      <c r="O1" s="23"/>
      <c r="P1" s="23"/>
      <c r="Q1" s="23"/>
      <c r="R1" s="23"/>
      <c r="S1" s="23"/>
      <c r="T1" s="23"/>
      <c r="U1" s="23"/>
      <c r="V1" s="23"/>
      <c r="W1" s="23"/>
      <c r="X1" s="23"/>
      <c r="Y1" s="23"/>
    </row>
    <row r="2" spans="1:25" x14ac:dyDescent="0.3">
      <c r="A2" s="9" t="s">
        <v>81</v>
      </c>
      <c r="B2" s="9"/>
      <c r="C2" s="9"/>
      <c r="D2" s="9"/>
      <c r="E2" s="9"/>
      <c r="F2" s="9"/>
      <c r="G2" s="9"/>
      <c r="H2" s="9"/>
      <c r="I2" s="9"/>
      <c r="J2" s="9"/>
      <c r="K2" s="9"/>
      <c r="L2" s="9"/>
      <c r="M2" s="9"/>
      <c r="N2" s="9"/>
      <c r="O2" s="9"/>
      <c r="P2" s="9"/>
      <c r="Q2" s="9"/>
      <c r="R2" s="9"/>
      <c r="S2" s="9"/>
      <c r="T2" s="9"/>
      <c r="U2" s="9"/>
      <c r="V2" s="9"/>
      <c r="W2" s="9"/>
      <c r="X2" s="9"/>
      <c r="Y2" s="9"/>
    </row>
    <row r="4" spans="1:25" x14ac:dyDescent="0.3">
      <c r="A4" s="22"/>
      <c r="B4" s="22"/>
      <c r="C4" s="22"/>
      <c r="D4" s="22"/>
      <c r="E4" s="22"/>
      <c r="F4" s="22"/>
      <c r="G4" s="22"/>
      <c r="H4" s="22"/>
      <c r="I4" s="22"/>
      <c r="J4" s="22"/>
      <c r="K4" s="22"/>
      <c r="L4" s="22"/>
      <c r="M4" s="22"/>
      <c r="N4" s="22"/>
      <c r="O4" s="22"/>
      <c r="P4" s="22"/>
      <c r="Q4" s="22"/>
      <c r="R4" s="22"/>
      <c r="S4" s="22"/>
      <c r="T4" s="22"/>
      <c r="U4" s="22"/>
      <c r="V4" s="22"/>
      <c r="W4" s="22"/>
      <c r="X4" s="22"/>
      <c r="Y4" s="22"/>
    </row>
    <row r="5" spans="1:25" x14ac:dyDescent="0.3">
      <c r="A5" s="22"/>
      <c r="B5" s="22"/>
      <c r="C5" s="22"/>
      <c r="D5" s="22"/>
      <c r="E5" s="22"/>
      <c r="F5" s="22"/>
      <c r="G5" s="22"/>
      <c r="H5" s="22"/>
      <c r="I5" s="22"/>
      <c r="J5" s="22"/>
      <c r="K5" s="22"/>
      <c r="L5" s="22"/>
      <c r="M5" s="22"/>
      <c r="N5" s="22"/>
      <c r="O5" s="22"/>
      <c r="P5" s="22"/>
      <c r="Q5" s="22"/>
      <c r="R5" s="22"/>
      <c r="S5" s="22"/>
      <c r="T5" s="22"/>
      <c r="U5" s="22"/>
      <c r="V5" s="22"/>
      <c r="W5" s="22"/>
      <c r="X5" s="22"/>
      <c r="Y5" s="22"/>
    </row>
    <row r="6" spans="1:25" x14ac:dyDescent="0.3">
      <c r="A6" s="22"/>
      <c r="B6" s="22"/>
      <c r="C6" s="22"/>
      <c r="D6" s="22"/>
      <c r="E6" s="22"/>
      <c r="F6" s="22"/>
      <c r="G6" s="22"/>
      <c r="H6" s="22"/>
      <c r="I6" s="22"/>
      <c r="J6" s="22"/>
      <c r="K6" s="22"/>
      <c r="L6" s="22"/>
      <c r="M6" s="22"/>
      <c r="N6" s="22"/>
      <c r="O6" s="22"/>
      <c r="P6" s="22"/>
      <c r="Q6" s="22"/>
      <c r="R6" s="22"/>
      <c r="S6" s="22"/>
      <c r="T6" s="22"/>
      <c r="U6" s="22"/>
      <c r="V6" s="22"/>
      <c r="W6" s="22"/>
      <c r="X6" s="22"/>
      <c r="Y6" s="22"/>
    </row>
    <row r="7" spans="1:25" x14ac:dyDescent="0.3">
      <c r="A7" s="22"/>
      <c r="B7" s="22"/>
      <c r="C7" s="22"/>
      <c r="D7" s="22"/>
      <c r="E7" s="22"/>
      <c r="F7" s="22"/>
      <c r="G7" s="22"/>
      <c r="H7" s="22"/>
      <c r="I7" s="22"/>
      <c r="J7" s="22"/>
      <c r="K7" s="22"/>
      <c r="L7" s="22"/>
      <c r="M7" s="22"/>
      <c r="N7" s="22"/>
      <c r="O7" s="22"/>
      <c r="P7" s="22"/>
      <c r="Q7" s="22"/>
      <c r="R7" s="22"/>
      <c r="S7" s="22"/>
      <c r="T7" s="22"/>
      <c r="U7" s="22"/>
      <c r="V7" s="22"/>
      <c r="W7" s="22"/>
      <c r="X7" s="22"/>
      <c r="Y7" s="22"/>
    </row>
    <row r="8" spans="1:25" x14ac:dyDescent="0.3">
      <c r="A8" s="22"/>
      <c r="B8" s="22"/>
      <c r="C8" s="22"/>
      <c r="D8" s="22"/>
      <c r="E8" s="22"/>
      <c r="F8" s="22"/>
      <c r="G8" s="22"/>
      <c r="H8" s="22"/>
      <c r="I8" s="22"/>
      <c r="J8" s="22"/>
      <c r="K8" s="22"/>
      <c r="L8" s="22"/>
      <c r="M8" s="22"/>
      <c r="N8" s="22"/>
      <c r="O8" s="22"/>
      <c r="P8" s="22"/>
      <c r="Q8" s="22"/>
      <c r="R8" s="22"/>
      <c r="S8" s="22"/>
      <c r="T8" s="22"/>
      <c r="U8" s="22"/>
      <c r="V8" s="22"/>
      <c r="W8" s="22"/>
      <c r="X8" s="22"/>
      <c r="Y8" s="22"/>
    </row>
    <row r="9" spans="1:25" x14ac:dyDescent="0.3">
      <c r="A9" s="22"/>
      <c r="B9" s="22"/>
      <c r="C9" s="22"/>
      <c r="D9" s="22"/>
      <c r="E9" s="22"/>
      <c r="F9" s="22"/>
      <c r="G9" s="22"/>
      <c r="H9" s="22"/>
      <c r="I9" s="22"/>
      <c r="J9" s="22"/>
      <c r="K9" s="22"/>
      <c r="L9" s="22"/>
      <c r="M9" s="22"/>
      <c r="N9" s="22"/>
      <c r="O9" s="22"/>
      <c r="P9" s="22"/>
      <c r="Q9" s="22"/>
      <c r="R9" s="22"/>
      <c r="S9" s="22"/>
      <c r="T9" s="22"/>
      <c r="U9" s="22"/>
      <c r="V9" s="22"/>
      <c r="W9" s="22"/>
      <c r="X9" s="22"/>
      <c r="Y9" s="22"/>
    </row>
    <row r="10" spans="1:25" x14ac:dyDescent="0.3">
      <c r="A10" s="22"/>
      <c r="B10" s="22"/>
      <c r="C10" s="15"/>
      <c r="D10" s="15"/>
      <c r="E10" s="15"/>
      <c r="F10" s="15"/>
      <c r="G10" s="15"/>
      <c r="H10" s="15"/>
      <c r="I10" s="15"/>
      <c r="J10" s="15"/>
      <c r="K10" s="15"/>
      <c r="L10" s="15"/>
      <c r="M10" s="15"/>
      <c r="N10" s="15"/>
      <c r="O10" s="15"/>
      <c r="P10" s="15"/>
      <c r="Q10" s="15"/>
      <c r="R10" s="15"/>
      <c r="S10" s="15"/>
      <c r="T10" s="15"/>
      <c r="U10" s="15"/>
      <c r="V10" s="15"/>
      <c r="W10" s="15"/>
      <c r="X10" s="22"/>
      <c r="Y10" s="22"/>
    </row>
    <row r="11" spans="1:25" x14ac:dyDescent="0.3">
      <c r="A11" s="22"/>
      <c r="B11" s="22"/>
      <c r="C11" s="15"/>
      <c r="D11" s="15"/>
      <c r="E11" s="15"/>
      <c r="F11" s="15"/>
      <c r="G11" s="15"/>
      <c r="H11" s="15"/>
      <c r="I11" s="15"/>
      <c r="J11" s="15"/>
      <c r="K11" s="15"/>
      <c r="L11" s="15"/>
      <c r="M11" s="15"/>
      <c r="N11" s="15"/>
      <c r="O11" s="15"/>
      <c r="P11" s="15"/>
      <c r="Q11" s="15"/>
      <c r="R11" s="15"/>
      <c r="S11" s="15"/>
      <c r="T11" s="15"/>
      <c r="U11" s="15"/>
      <c r="V11" s="15"/>
      <c r="W11" s="15"/>
      <c r="X11" s="22"/>
      <c r="Y11" s="22"/>
    </row>
    <row r="12" spans="1:25" x14ac:dyDescent="0.3">
      <c r="A12" s="22"/>
      <c r="B12" s="22"/>
      <c r="C12" s="15"/>
      <c r="D12" s="15"/>
      <c r="E12" s="15"/>
      <c r="F12" s="15"/>
      <c r="G12" s="15"/>
      <c r="H12" s="15"/>
      <c r="I12" s="15"/>
      <c r="J12" s="15"/>
      <c r="K12" s="15"/>
      <c r="L12" s="15"/>
      <c r="M12" s="15"/>
      <c r="N12" s="15"/>
      <c r="O12" s="15"/>
      <c r="P12" s="15"/>
      <c r="Q12" s="15"/>
      <c r="R12" s="15"/>
      <c r="S12" s="15"/>
      <c r="T12" s="15"/>
      <c r="U12" s="15"/>
      <c r="V12" s="15"/>
      <c r="W12" s="15"/>
      <c r="X12" s="22"/>
      <c r="Y12" s="22"/>
    </row>
    <row r="13" spans="1:25" x14ac:dyDescent="0.3">
      <c r="A13" s="22"/>
      <c r="B13" s="22"/>
      <c r="C13" s="15"/>
      <c r="D13" s="15"/>
      <c r="E13" s="15"/>
      <c r="F13" s="15"/>
      <c r="G13" s="15"/>
      <c r="H13" s="15"/>
      <c r="I13" s="15"/>
      <c r="J13" s="15"/>
      <c r="K13" s="15"/>
      <c r="L13" s="15"/>
      <c r="M13" s="15"/>
      <c r="N13" s="15"/>
      <c r="O13" s="15"/>
      <c r="P13" s="15"/>
      <c r="Q13" s="15"/>
      <c r="R13" s="15"/>
      <c r="S13" s="15"/>
      <c r="T13" s="15"/>
      <c r="U13" s="15"/>
      <c r="V13" s="15"/>
      <c r="W13" s="15"/>
      <c r="X13" s="22"/>
      <c r="Y13" s="22"/>
    </row>
    <row r="14" spans="1:25" x14ac:dyDescent="0.3">
      <c r="A14" s="22"/>
      <c r="B14" s="22"/>
      <c r="C14" s="15"/>
      <c r="D14" s="15"/>
      <c r="E14" s="15"/>
      <c r="F14" s="15"/>
      <c r="G14" s="15"/>
      <c r="H14" s="15"/>
      <c r="I14" s="15"/>
      <c r="J14" s="15"/>
      <c r="K14" s="15"/>
      <c r="L14" s="15"/>
      <c r="M14" s="15"/>
      <c r="N14" s="15"/>
      <c r="O14" s="15"/>
      <c r="P14" s="15"/>
      <c r="Q14" s="15"/>
      <c r="R14" s="15"/>
      <c r="S14" s="15"/>
      <c r="T14" s="15"/>
      <c r="U14" s="15"/>
      <c r="V14" s="15"/>
      <c r="W14" s="15"/>
      <c r="X14" s="22"/>
      <c r="Y14" s="22"/>
    </row>
    <row r="15" spans="1:25" x14ac:dyDescent="0.3">
      <c r="A15" s="22"/>
      <c r="B15" s="22"/>
      <c r="C15" s="15"/>
      <c r="D15" s="15"/>
      <c r="E15" s="15"/>
      <c r="F15" s="15"/>
      <c r="G15" s="15"/>
      <c r="H15" s="15"/>
      <c r="I15" s="15"/>
      <c r="J15" s="15"/>
      <c r="K15" s="15"/>
      <c r="L15" s="15"/>
      <c r="M15" s="15"/>
      <c r="N15" s="15"/>
      <c r="O15" s="15"/>
      <c r="P15" s="15"/>
      <c r="Q15" s="15"/>
      <c r="R15" s="15"/>
      <c r="S15" s="15"/>
      <c r="T15" s="15"/>
      <c r="U15" s="15"/>
      <c r="V15" s="15"/>
      <c r="W15" s="15"/>
      <c r="X15" s="22"/>
      <c r="Y15" s="22"/>
    </row>
    <row r="16" spans="1:25" x14ac:dyDescent="0.3">
      <c r="A16" s="22"/>
      <c r="B16" s="22"/>
      <c r="C16" s="15"/>
      <c r="D16" s="15"/>
      <c r="E16" s="15"/>
      <c r="F16" s="15"/>
      <c r="G16" s="15"/>
      <c r="H16" s="15"/>
      <c r="I16" s="15"/>
      <c r="J16" s="15"/>
      <c r="K16" s="15"/>
      <c r="L16" s="15"/>
      <c r="M16" s="15"/>
      <c r="N16" s="15"/>
      <c r="O16" s="15"/>
      <c r="P16" s="15"/>
      <c r="Q16" s="15"/>
      <c r="R16" s="15"/>
      <c r="S16" s="15"/>
      <c r="T16" s="15"/>
      <c r="U16" s="15"/>
      <c r="V16" s="15"/>
      <c r="W16" s="15"/>
      <c r="X16" s="22"/>
      <c r="Y16" s="22"/>
    </row>
    <row r="17" spans="1:25" x14ac:dyDescent="0.3">
      <c r="A17" s="22"/>
      <c r="B17" s="22"/>
      <c r="C17" s="15"/>
      <c r="D17" s="15"/>
      <c r="E17" s="15"/>
      <c r="F17" s="15"/>
      <c r="G17" s="15"/>
      <c r="H17" s="15"/>
      <c r="I17" s="15"/>
      <c r="J17" s="15"/>
      <c r="K17" s="15"/>
      <c r="L17" s="15"/>
      <c r="M17" s="15"/>
      <c r="N17" s="15"/>
      <c r="O17" s="15"/>
      <c r="P17" s="15"/>
      <c r="Q17" s="15"/>
      <c r="R17" s="15"/>
      <c r="S17" s="15"/>
      <c r="T17" s="15"/>
      <c r="U17" s="15"/>
      <c r="V17" s="15"/>
      <c r="W17" s="15"/>
      <c r="X17" s="22"/>
      <c r="Y17" s="22"/>
    </row>
    <row r="18" spans="1:25" x14ac:dyDescent="0.3">
      <c r="A18" s="22"/>
      <c r="B18" s="22"/>
      <c r="C18" s="15"/>
      <c r="D18" s="15"/>
      <c r="E18" s="15"/>
      <c r="F18" s="15"/>
      <c r="G18" s="15"/>
      <c r="H18" s="15"/>
      <c r="I18" s="15"/>
      <c r="J18" s="15"/>
      <c r="K18" s="15"/>
      <c r="L18" s="15"/>
      <c r="M18" s="15"/>
      <c r="N18" s="15"/>
      <c r="O18" s="15"/>
      <c r="P18" s="15"/>
      <c r="Q18" s="15"/>
      <c r="R18" s="15"/>
      <c r="S18" s="15"/>
      <c r="T18" s="15"/>
      <c r="U18" s="15"/>
      <c r="V18" s="15"/>
      <c r="W18" s="15"/>
      <c r="X18" s="22"/>
      <c r="Y18" s="22"/>
    </row>
    <row r="19" spans="1:25" x14ac:dyDescent="0.3">
      <c r="A19" s="22"/>
      <c r="B19" s="22"/>
      <c r="C19" s="15"/>
      <c r="D19" s="15"/>
      <c r="E19" s="15"/>
      <c r="F19" s="15"/>
      <c r="G19" s="15"/>
      <c r="H19" s="15"/>
      <c r="I19" s="15"/>
      <c r="J19" s="15"/>
      <c r="K19" s="15"/>
      <c r="L19" s="15"/>
      <c r="M19" s="15"/>
      <c r="N19" s="15"/>
      <c r="O19" s="15"/>
      <c r="P19" s="15"/>
      <c r="Q19" s="15"/>
      <c r="R19" s="15"/>
      <c r="S19" s="15"/>
      <c r="T19" s="15"/>
      <c r="U19" s="15"/>
      <c r="V19" s="15"/>
      <c r="W19" s="15"/>
      <c r="X19" s="22"/>
      <c r="Y19" s="22"/>
    </row>
    <row r="20" spans="1:25" x14ac:dyDescent="0.3">
      <c r="A20" s="22"/>
      <c r="B20" s="22"/>
      <c r="C20" s="15"/>
      <c r="D20" s="15"/>
      <c r="E20" s="15"/>
      <c r="F20" s="15"/>
      <c r="G20" s="15"/>
      <c r="H20" s="15"/>
      <c r="I20" s="15"/>
      <c r="J20" s="15"/>
      <c r="K20" s="15"/>
      <c r="L20" s="15"/>
      <c r="M20" s="15"/>
      <c r="N20" s="15"/>
      <c r="O20" s="15"/>
      <c r="P20" s="15"/>
      <c r="Q20" s="15"/>
      <c r="R20" s="15"/>
      <c r="S20" s="15"/>
      <c r="T20" s="15"/>
      <c r="U20" s="15"/>
      <c r="V20" s="15"/>
      <c r="W20" s="15"/>
      <c r="X20" s="22"/>
      <c r="Y20" s="22"/>
    </row>
    <row r="21" spans="1:25" x14ac:dyDescent="0.3">
      <c r="A21" s="22"/>
      <c r="B21" s="22"/>
      <c r="C21" s="15"/>
      <c r="D21" s="15"/>
      <c r="E21" s="15"/>
      <c r="F21" s="15"/>
      <c r="G21" s="15"/>
      <c r="H21" s="15"/>
      <c r="I21" s="15"/>
      <c r="J21" s="15"/>
      <c r="K21" s="15"/>
      <c r="L21" s="15"/>
      <c r="M21" s="15"/>
      <c r="N21" s="15"/>
      <c r="O21" s="15"/>
      <c r="P21" s="15"/>
      <c r="Q21" s="15"/>
      <c r="R21" s="15"/>
      <c r="S21" s="15"/>
      <c r="T21" s="15"/>
      <c r="U21" s="15"/>
      <c r="V21" s="15"/>
      <c r="W21" s="15"/>
      <c r="X21" s="22"/>
      <c r="Y21" s="22"/>
    </row>
    <row r="22" spans="1:25" x14ac:dyDescent="0.3">
      <c r="A22" s="22"/>
      <c r="B22" s="22"/>
      <c r="C22" s="15"/>
      <c r="D22" s="15"/>
      <c r="E22" s="15"/>
      <c r="F22" s="15"/>
      <c r="G22" s="15"/>
      <c r="H22" s="15"/>
      <c r="I22" s="15"/>
      <c r="J22" s="15"/>
      <c r="K22" s="15"/>
      <c r="L22" s="15"/>
      <c r="M22" s="15"/>
      <c r="N22" s="15"/>
      <c r="O22" s="15"/>
      <c r="P22" s="15"/>
      <c r="Q22" s="15"/>
      <c r="R22" s="15"/>
      <c r="S22" s="15"/>
      <c r="T22" s="15"/>
      <c r="U22" s="15"/>
      <c r="V22" s="15"/>
      <c r="W22" s="15"/>
      <c r="X22" s="22"/>
      <c r="Y22" s="22"/>
    </row>
    <row r="23" spans="1:25" x14ac:dyDescent="0.3">
      <c r="A23" s="22"/>
      <c r="B23" s="22"/>
      <c r="C23" s="15"/>
      <c r="D23" s="15"/>
      <c r="E23" s="15"/>
      <c r="F23" s="15"/>
      <c r="G23" s="15"/>
      <c r="H23" s="15"/>
      <c r="I23" s="15"/>
      <c r="J23" s="15"/>
      <c r="K23" s="15"/>
      <c r="L23" s="15"/>
      <c r="M23" s="15"/>
      <c r="N23" s="15"/>
      <c r="O23" s="15"/>
      <c r="P23" s="15"/>
      <c r="Q23" s="15"/>
      <c r="R23" s="15"/>
      <c r="S23" s="15"/>
      <c r="T23" s="15"/>
      <c r="U23" s="15"/>
      <c r="V23" s="15"/>
      <c r="W23" s="15"/>
      <c r="X23" s="22"/>
      <c r="Y23" s="22"/>
    </row>
    <row r="24" spans="1:25" x14ac:dyDescent="0.3">
      <c r="A24" s="22"/>
      <c r="B24" s="22"/>
      <c r="C24" s="15"/>
      <c r="D24" s="15"/>
      <c r="E24" s="15"/>
      <c r="F24" s="15"/>
      <c r="G24" s="15"/>
      <c r="H24" s="15"/>
      <c r="I24" s="15"/>
      <c r="J24" s="15"/>
      <c r="K24" s="15"/>
      <c r="L24" s="15"/>
      <c r="M24" s="15"/>
      <c r="N24" s="15"/>
      <c r="O24" s="15"/>
      <c r="P24" s="15"/>
      <c r="Q24" s="15"/>
      <c r="R24" s="15"/>
      <c r="S24" s="15"/>
      <c r="T24" s="15"/>
      <c r="U24" s="15"/>
      <c r="V24" s="15"/>
      <c r="W24" s="15"/>
      <c r="X24" s="22"/>
      <c r="Y24" s="22"/>
    </row>
    <row r="25" spans="1:25" ht="15.6" x14ac:dyDescent="0.3">
      <c r="A25" s="22"/>
      <c r="B25" s="22"/>
      <c r="C25" s="15"/>
      <c r="D25" s="15"/>
      <c r="E25" s="15"/>
      <c r="F25" s="15"/>
      <c r="G25" s="15"/>
      <c r="H25" s="15"/>
      <c r="I25" s="15"/>
      <c r="J25" s="15"/>
      <c r="K25" s="15"/>
      <c r="L25" s="15"/>
      <c r="M25" s="15"/>
      <c r="N25" s="15"/>
      <c r="O25" s="15"/>
      <c r="P25" s="15"/>
      <c r="Q25" s="15"/>
      <c r="R25" s="15"/>
      <c r="S25" s="15"/>
      <c r="T25" s="15"/>
      <c r="U25" s="15"/>
      <c r="V25" s="15"/>
      <c r="W25" s="24"/>
      <c r="X25" s="22"/>
      <c r="Y25" s="22"/>
    </row>
    <row r="26" spans="1:25" x14ac:dyDescent="0.3">
      <c r="A26" s="22"/>
      <c r="B26" s="22"/>
      <c r="C26" s="15"/>
      <c r="D26" s="15"/>
      <c r="E26" s="15"/>
      <c r="F26" s="15"/>
      <c r="G26" s="15"/>
      <c r="H26" s="15"/>
      <c r="I26" s="15"/>
      <c r="J26" s="15"/>
      <c r="K26" s="15"/>
      <c r="L26" s="15"/>
      <c r="M26" s="15"/>
      <c r="N26" s="15"/>
      <c r="O26" s="15"/>
      <c r="P26" s="15"/>
      <c r="Q26" s="15"/>
      <c r="R26" s="15"/>
      <c r="S26" s="15"/>
      <c r="T26" s="15"/>
      <c r="U26" s="15"/>
      <c r="V26" s="15"/>
      <c r="W26" s="15"/>
      <c r="X26" s="22"/>
      <c r="Y26" s="22"/>
    </row>
    <row r="27" spans="1:25" x14ac:dyDescent="0.3">
      <c r="A27" s="22"/>
      <c r="B27" s="22"/>
      <c r="C27" s="15"/>
      <c r="D27" s="15"/>
      <c r="E27" s="15"/>
      <c r="F27" s="15"/>
      <c r="G27" s="15"/>
      <c r="H27" s="15"/>
      <c r="I27" s="15"/>
      <c r="J27" s="15"/>
      <c r="K27" s="15"/>
      <c r="L27" s="15"/>
      <c r="M27" s="15"/>
      <c r="N27" s="15"/>
      <c r="O27" s="15"/>
      <c r="P27" s="15"/>
      <c r="Q27" s="15"/>
      <c r="R27" s="15"/>
      <c r="S27" s="15"/>
      <c r="T27" s="15"/>
      <c r="U27" s="15"/>
      <c r="V27" s="15"/>
      <c r="W27" s="15"/>
      <c r="X27" s="22"/>
      <c r="Y27" s="22"/>
    </row>
    <row r="28" spans="1:25" x14ac:dyDescent="0.3">
      <c r="A28" s="22"/>
      <c r="B28" s="22"/>
      <c r="C28" s="15"/>
      <c r="D28" s="15"/>
      <c r="E28" s="15"/>
      <c r="F28" s="15"/>
      <c r="G28" s="15"/>
      <c r="H28" s="15"/>
      <c r="I28" s="15"/>
      <c r="J28" s="15"/>
      <c r="K28" s="15"/>
      <c r="L28" s="15"/>
      <c r="M28" s="15"/>
      <c r="N28" s="15"/>
      <c r="O28" s="15"/>
      <c r="P28" s="15"/>
      <c r="Q28" s="15"/>
      <c r="R28" s="15"/>
      <c r="S28" s="15"/>
      <c r="T28" s="15"/>
      <c r="U28" s="15"/>
      <c r="V28" s="15"/>
      <c r="W28" s="15"/>
      <c r="X28" s="22"/>
      <c r="Y28" s="22"/>
    </row>
    <row r="29" spans="1:25" x14ac:dyDescent="0.3">
      <c r="A29" s="22"/>
      <c r="B29" s="22"/>
      <c r="C29" s="15"/>
      <c r="D29" s="15"/>
      <c r="E29" s="15"/>
      <c r="F29" s="15"/>
      <c r="G29" s="15"/>
      <c r="H29" s="15"/>
      <c r="I29" s="15"/>
      <c r="J29" s="15"/>
      <c r="K29" s="15"/>
      <c r="L29" s="15"/>
      <c r="M29" s="15"/>
      <c r="N29" s="15"/>
      <c r="O29" s="15"/>
      <c r="P29" s="15"/>
      <c r="Q29" s="15"/>
      <c r="R29" s="15"/>
      <c r="S29" s="15"/>
      <c r="T29" s="15"/>
      <c r="U29" s="15"/>
      <c r="V29" s="15"/>
      <c r="W29" s="15"/>
      <c r="X29" s="22"/>
      <c r="Y29" s="22"/>
    </row>
    <row r="30" spans="1:25" x14ac:dyDescent="0.3">
      <c r="A30" s="22"/>
      <c r="B30" s="22"/>
      <c r="C30" s="15"/>
      <c r="D30" s="15"/>
      <c r="E30" s="15"/>
      <c r="F30" s="15"/>
      <c r="G30" s="15"/>
      <c r="H30" s="15"/>
      <c r="I30" s="15"/>
      <c r="J30" s="15"/>
      <c r="K30" s="15"/>
      <c r="L30" s="15"/>
      <c r="M30" s="15"/>
      <c r="N30" s="15"/>
      <c r="O30" s="15"/>
      <c r="P30" s="15"/>
      <c r="Q30" s="15"/>
      <c r="R30" s="15"/>
      <c r="S30" s="15"/>
      <c r="T30" s="15"/>
      <c r="U30" s="15"/>
      <c r="V30" s="15"/>
      <c r="W30" s="15"/>
      <c r="X30" s="22"/>
      <c r="Y30" s="22"/>
    </row>
    <row r="31" spans="1:25" x14ac:dyDescent="0.3">
      <c r="A31" s="22"/>
      <c r="B31" s="22"/>
      <c r="C31" s="15"/>
      <c r="D31" s="15"/>
      <c r="E31" s="15"/>
      <c r="F31" s="15"/>
      <c r="G31" s="15"/>
      <c r="H31" s="15"/>
      <c r="I31" s="15"/>
      <c r="J31" s="15"/>
      <c r="K31" s="15"/>
      <c r="L31" s="15"/>
      <c r="M31" s="15"/>
      <c r="N31" s="15"/>
      <c r="O31" s="15"/>
      <c r="P31" s="15"/>
      <c r="Q31" s="15"/>
      <c r="R31" s="15"/>
      <c r="S31" s="15"/>
      <c r="T31" s="15"/>
      <c r="U31" s="15"/>
      <c r="V31" s="15"/>
      <c r="W31" s="15"/>
      <c r="X31" s="22"/>
      <c r="Y31" s="22"/>
    </row>
    <row r="32" spans="1:25" x14ac:dyDescent="0.3">
      <c r="A32" s="22"/>
      <c r="B32" s="22"/>
      <c r="C32" s="15"/>
      <c r="D32" s="15"/>
      <c r="E32" s="15"/>
      <c r="F32" s="15"/>
      <c r="G32" s="15"/>
      <c r="H32" s="15"/>
      <c r="I32" s="15"/>
      <c r="J32" s="15"/>
      <c r="K32" s="15"/>
      <c r="L32" s="15"/>
      <c r="M32" s="15"/>
      <c r="N32" s="15"/>
      <c r="O32" s="15"/>
      <c r="P32" s="15"/>
      <c r="Q32" s="15"/>
      <c r="R32" s="15"/>
      <c r="S32" s="15"/>
      <c r="T32" s="15"/>
      <c r="U32" s="15"/>
      <c r="V32" s="15"/>
      <c r="W32" s="15"/>
      <c r="X32" s="22"/>
      <c r="Y32" s="22"/>
    </row>
    <row r="33" spans="1:25" x14ac:dyDescent="0.3">
      <c r="A33" s="22"/>
      <c r="B33" s="22"/>
      <c r="C33" s="22"/>
      <c r="D33" s="22"/>
      <c r="E33" s="22"/>
      <c r="F33" s="22"/>
      <c r="G33" s="22"/>
      <c r="H33" s="22"/>
      <c r="I33" s="22"/>
      <c r="J33" s="22"/>
      <c r="K33" s="22"/>
      <c r="L33" s="22"/>
      <c r="M33" s="22"/>
      <c r="N33" s="22"/>
      <c r="O33" s="22"/>
      <c r="P33" s="22"/>
      <c r="Q33" s="22"/>
      <c r="R33" s="22"/>
      <c r="S33" s="22"/>
      <c r="T33" s="22"/>
      <c r="U33" s="22"/>
      <c r="V33" s="22"/>
      <c r="W33" s="22"/>
      <c r="X33" s="22"/>
      <c r="Y33" s="22"/>
    </row>
    <row r="34" spans="1:25" x14ac:dyDescent="0.3">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x14ac:dyDescent="0.3">
      <c r="A35" s="22"/>
      <c r="B35" s="22"/>
      <c r="C35" s="22"/>
      <c r="D35" s="22"/>
      <c r="E35" s="22"/>
      <c r="F35" s="22"/>
      <c r="G35" s="22"/>
      <c r="H35" s="22"/>
      <c r="I35" s="22"/>
      <c r="J35" s="22"/>
      <c r="K35" s="22"/>
      <c r="L35" s="22"/>
      <c r="M35" s="22"/>
      <c r="N35" s="22"/>
      <c r="O35" s="22"/>
      <c r="P35" s="22"/>
      <c r="Q35" s="22"/>
      <c r="R35" s="22"/>
      <c r="S35" s="22"/>
      <c r="T35" s="22"/>
      <c r="U35" s="22"/>
      <c r="V35" s="22"/>
      <c r="W35" s="22"/>
      <c r="X35" s="22"/>
      <c r="Y35" s="22"/>
    </row>
    <row r="36" spans="1:25" x14ac:dyDescent="0.3">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spans="1:25" x14ac:dyDescent="0.3">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sheetData>
  <mergeCells count="2">
    <mergeCell ref="A1:Y1"/>
    <mergeCell ref="A2:Y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91395-652C-455C-B9B1-5D0FC72C2089}">
  <dimension ref="A1:Y38"/>
  <sheetViews>
    <sheetView zoomScale="59" workbookViewId="0">
      <selection activeCell="P33" sqref="P33"/>
    </sheetView>
  </sheetViews>
  <sheetFormatPr defaultRowHeight="14.4" x14ac:dyDescent="0.3"/>
  <cols>
    <col min="2" max="2" width="60.5546875" bestFit="1" customWidth="1"/>
    <col min="7" max="7" width="52.109375" bestFit="1" customWidth="1"/>
  </cols>
  <sheetData>
    <row r="1" spans="1:25" s="19" customFormat="1" x14ac:dyDescent="0.3">
      <c r="A1" s="23" t="s">
        <v>83</v>
      </c>
      <c r="B1" s="23"/>
      <c r="C1" s="23"/>
      <c r="D1" s="23"/>
      <c r="E1" s="23"/>
      <c r="F1" s="23"/>
      <c r="G1" s="23"/>
      <c r="H1" s="23"/>
      <c r="I1" s="23"/>
      <c r="J1" s="23"/>
      <c r="K1" s="23"/>
      <c r="L1" s="23"/>
      <c r="M1" s="26"/>
      <c r="N1" s="26"/>
      <c r="O1" s="26"/>
      <c r="P1" s="26"/>
      <c r="Q1" s="26"/>
      <c r="R1" s="26"/>
      <c r="S1" s="26"/>
      <c r="T1" s="26"/>
      <c r="U1" s="26"/>
      <c r="V1" s="26"/>
      <c r="W1" s="26"/>
      <c r="X1" s="26"/>
      <c r="Y1" s="26"/>
    </row>
    <row r="2" spans="1:25" x14ac:dyDescent="0.3">
      <c r="A2" s="9" t="s">
        <v>85</v>
      </c>
      <c r="B2" s="9"/>
      <c r="C2" s="9"/>
      <c r="D2" s="9"/>
      <c r="E2" s="9"/>
      <c r="F2" s="9"/>
      <c r="G2" s="9"/>
      <c r="H2" s="9"/>
      <c r="I2" s="9"/>
      <c r="J2" s="9"/>
      <c r="K2" s="9"/>
      <c r="L2" s="9"/>
      <c r="M2" s="11"/>
      <c r="N2" s="11"/>
      <c r="O2" s="11"/>
      <c r="P2" s="11"/>
      <c r="Q2" s="11"/>
      <c r="R2" s="11"/>
      <c r="S2" s="11"/>
      <c r="T2" s="11"/>
      <c r="U2" s="11"/>
      <c r="V2" s="11"/>
      <c r="W2" s="11"/>
      <c r="X2" s="11"/>
      <c r="Y2" s="11"/>
    </row>
    <row r="6" spans="1:25" ht="31.2" x14ac:dyDescent="0.6">
      <c r="B6" s="25" t="s">
        <v>86</v>
      </c>
      <c r="G6" s="25" t="s">
        <v>87</v>
      </c>
    </row>
    <row r="17" spans="2:7" ht="31.2" x14ac:dyDescent="0.6">
      <c r="B17" s="25" t="s">
        <v>90</v>
      </c>
      <c r="G17" s="25" t="s">
        <v>88</v>
      </c>
    </row>
    <row r="31" spans="2:7" ht="31.2" x14ac:dyDescent="0.6">
      <c r="G31" s="25" t="s">
        <v>89</v>
      </c>
    </row>
    <row r="38" spans="2:2" ht="31.2" x14ac:dyDescent="0.6">
      <c r="B38" s="25" t="s">
        <v>91</v>
      </c>
    </row>
  </sheetData>
  <mergeCells count="2">
    <mergeCell ref="A1:L1"/>
    <mergeCell ref="A2:L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Day1</vt:lpstr>
      <vt:lpstr>Day2</vt:lpstr>
      <vt:lpstr>Day3</vt:lpstr>
      <vt:lpstr>Day4</vt:lpstr>
      <vt:lpstr>Day5</vt:lpstr>
      <vt:lpstr>Day6</vt:lpstr>
      <vt:lpstr>Day7</vt:lpstr>
      <vt:lpstr>Day8</vt:lpstr>
      <vt:lpstr>Day9</vt:lpstr>
      <vt:lpstr>Day10</vt:lpstr>
      <vt:lpstr>Day11</vt:lpstr>
      <vt:lpstr>Day12</vt:lpstr>
      <vt:lpstr>Day13</vt:lpstr>
      <vt:lpstr>Day14</vt:lpstr>
      <vt:lpstr>Day15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Agrim Saxena</dc:creator>
  <cp:lastModifiedBy>Agrim Saxena</cp:lastModifiedBy>
  <dcterms:created xsi:type="dcterms:W3CDTF">2026-09-21T12:46:15Z</dcterms:created>
  <dcterms:modified xsi:type="dcterms:W3CDTF">2026-09-21T14:53:17Z</dcterms:modified>
</cp:coreProperties>
</file>