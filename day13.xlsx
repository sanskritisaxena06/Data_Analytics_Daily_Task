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ss\"/>
    </mc:Choice>
  </mc:AlternateContent>
  <xr:revisionPtr revIDLastSave="0" documentId="13_ncr:1_{F7B9DFEB-E7CC-43CE-99DA-0C7B82A7881B}" xr6:coauthVersionLast="47" xr6:coauthVersionMax="47" xr10:uidLastSave="{00000000-0000-0000-0000-000000000000}"/>
  <bookViews>
    <workbookView xWindow="-108" yWindow="-108" windowWidth="23256" windowHeight="13176" activeTab="1" xr2:uid="{D7DD5D69-0DA9-4A94-81F1-202F8F0E0ADE}"/>
  </bookViews>
  <sheets>
    <sheet name="Day13" sheetId="13" r:id="rId1"/>
    <sheet name="Day14" sheetId="14" r:id="rId2"/>
  </sheets>
  <definedNames>
    <definedName name="Slicer_Is_Fail">#N/A</definedName>
    <definedName name="Slicer_Last_Name">#N/A</definedName>
    <definedName name="Slicer_Student_ID">#N/A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13" l="1"/>
  <c r="D9" i="13"/>
  <c r="B9" i="13"/>
  <c r="A9" i="13"/>
  <c r="C9" i="13"/>
</calcChain>
</file>

<file path=xl/sharedStrings.xml><?xml version="1.0" encoding="utf-8"?>
<sst xmlns="http://schemas.openxmlformats.org/spreadsheetml/2006/main" count="39" uniqueCount="21">
  <si>
    <t>Sanskriti</t>
  </si>
  <si>
    <t>Anu</t>
  </si>
  <si>
    <t>Shubh</t>
  </si>
  <si>
    <t>Alok</t>
  </si>
  <si>
    <t>Riya</t>
  </si>
  <si>
    <t>Sum of Mathematics</t>
  </si>
  <si>
    <t>Sum of Science</t>
  </si>
  <si>
    <t>Sum of English</t>
  </si>
  <si>
    <t>Sum of Computer</t>
  </si>
  <si>
    <t>Sum of Social Science</t>
  </si>
  <si>
    <t>Fail</t>
  </si>
  <si>
    <t>Pass</t>
  </si>
  <si>
    <t>Grand Total</t>
  </si>
  <si>
    <t>Sum of Total</t>
  </si>
  <si>
    <t>Sum of Percentage</t>
  </si>
  <si>
    <t>Day 13</t>
  </si>
  <si>
    <t>Name</t>
  </si>
  <si>
    <t>IS_Fail</t>
  </si>
  <si>
    <t>Dashboard</t>
  </si>
  <si>
    <t xml:space="preserve">Pivot Tables , Slicers And Graphs </t>
  </si>
  <si>
    <t>Day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</si>
</sst>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FFFFFF"/>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1" fillId="2" borderId="0" xfId="0" applyFont="1" applyFill="1"/>
    <xf numFmtId="0" fontId="0" fillId="3" borderId="0" xfId="0" applyFill="1"/>
    <xf numFmtId="0" fontId="0" fillId="0" borderId="0" xfId="0" pivotButton="1"/>
    <xf numFmtId="0" fontId="0" fillId="0" borderId="0" xfId="0" applyAlignment="1">
      <alignment horizontal="left"/>
    </xf>
    <xf numFmtId="0" fontId="0" fillId="4" borderId="0" xfId="0" applyFill="1"/>
    <xf numFmtId="0" fontId="2" fillId="3" borderId="0" xfId="0" applyFont="1" applyFill="1" applyAlignment="1">
      <alignment horizontal="left" vertical="center"/>
    </xf>
    <xf numFmtId="0" fontId="1" fillId="0" borderId="0" xfId="0" applyFont="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'Day13'!$B$12</c:f>
              <c:strCache>
                <c:ptCount val="1"/>
                <c:pt idx="0">
                  <c:v>Sum of Total</c:v>
                </c:pt>
              </c:strCache>
            </c:strRef>
          </c:tx>
          <c:spPr>
            <a:solidFill>
              <a:schemeClr val="accent1"/>
            </a:solidFill>
            <a:ln>
              <a:noFill/>
            </a:ln>
            <a:effectLst/>
          </c:spPr>
          <c:invertIfNegative val="0"/>
          <c:cat>
            <c:strRef>
              <c:f>'Day13'!$A$13:$A$18</c:f>
              <c:strCache>
                <c:ptCount val="5"/>
                <c:pt idx="0">
                  <c:v>Alok</c:v>
                </c:pt>
                <c:pt idx="1">
                  <c:v>Anu</c:v>
                </c:pt>
                <c:pt idx="2">
                  <c:v>Riya</c:v>
                </c:pt>
                <c:pt idx="3">
                  <c:v>Sanskriti</c:v>
                </c:pt>
                <c:pt idx="4">
                  <c:v>Shubh</c:v>
                </c:pt>
              </c:strCache>
            </c:strRef>
          </c:cat>
          <c:val>
            <c:numRef>
              <c:f>'Day13'!$B$13:$B$18</c:f>
              <c:numCache>
                <c:formatCode>General</c:formatCode>
                <c:ptCount val="5"/>
                <c:pt idx="0">
                  <c:v>322</c:v>
                </c:pt>
                <c:pt idx="1">
                  <c:v>416</c:v>
                </c:pt>
                <c:pt idx="2">
                  <c:v>358</c:v>
                </c:pt>
                <c:pt idx="3">
                  <c:v>441</c:v>
                </c:pt>
                <c:pt idx="4">
                  <c:v>450</c:v>
                </c:pt>
              </c:numCache>
            </c:numRef>
          </c:val>
          <c:extLst>
            <c:ext xmlns:c16="http://schemas.microsoft.com/office/drawing/2014/chart" uri="{C3380CC4-5D6E-409C-BE32-E72D297353CC}">
              <c16:uniqueId val="{00000000-99D4-4F37-B3DD-2D95BE075EDB}"/>
            </c:ext>
          </c:extLst>
        </c:ser>
        <c:dLbls>
          <c:showLegendKey val="0"/>
          <c:showVal val="0"/>
          <c:showCatName val="0"/>
          <c:showSerName val="0"/>
          <c:showPercent val="0"/>
          <c:showBubbleSize val="0"/>
        </c:dLbls>
        <c:gapWidth val="219"/>
        <c:overlap val="100"/>
        <c:axId val="178146608"/>
        <c:axId val="51608528"/>
      </c:barChart>
      <c:lineChart>
        <c:grouping val="standard"/>
        <c:varyColors val="0"/>
        <c:ser>
          <c:idx val="1"/>
          <c:order val="1"/>
          <c:tx>
            <c:strRef>
              <c:f>'Day13'!$C$12</c:f>
              <c:strCache>
                <c:ptCount val="1"/>
                <c:pt idx="0">
                  <c:v>Sum of Percentage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'Day13'!$A$13:$A$18</c:f>
              <c:strCache>
                <c:ptCount val="5"/>
                <c:pt idx="0">
                  <c:v>Alok</c:v>
                </c:pt>
                <c:pt idx="1">
                  <c:v>Anu</c:v>
                </c:pt>
                <c:pt idx="2">
                  <c:v>Riya</c:v>
                </c:pt>
                <c:pt idx="3">
                  <c:v>Sanskriti</c:v>
                </c:pt>
                <c:pt idx="4">
                  <c:v>Shubh</c:v>
                </c:pt>
              </c:strCache>
            </c:strRef>
          </c:cat>
          <c:val>
            <c:numRef>
              <c:f>'Day13'!$C$13:$C$18</c:f>
              <c:numCache>
                <c:formatCode>General</c:formatCode>
                <c:ptCount val="5"/>
                <c:pt idx="0">
                  <c:v>64.400000000000006</c:v>
                </c:pt>
                <c:pt idx="1">
                  <c:v>83.2</c:v>
                </c:pt>
                <c:pt idx="2">
                  <c:v>71.599999999999994</c:v>
                </c:pt>
                <c:pt idx="3">
                  <c:v>88.2</c:v>
                </c:pt>
                <c:pt idx="4">
                  <c:v>90</c:v>
                </c:pt>
              </c:numCache>
            </c:numRef>
          </c:val>
          <c:smooth val="0"/>
          <c:extLst>
            <c:ext xmlns:c16="http://schemas.microsoft.com/office/drawing/2014/chart" uri="{C3380CC4-5D6E-409C-BE32-E72D297353CC}">
              <c16:uniqueId val="{00000001-99D4-4F37-B3DD-2D95BE075EDB}"/>
            </c:ext>
          </c:extLst>
        </c:ser>
        <c:dLbls>
          <c:showLegendKey val="0"/>
          <c:showVal val="0"/>
          <c:showCatName val="0"/>
          <c:showSerName val="0"/>
          <c:showPercent val="0"/>
          <c:showBubbleSize val="0"/>
        </c:dLbls>
        <c:marker val="1"/>
        <c:smooth val="0"/>
        <c:axId val="178126656"/>
        <c:axId val="51609008"/>
      </c:lineChart>
      <c:catAx>
        <c:axId val="1781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9008"/>
        <c:crosses val="autoZero"/>
        <c:auto val="1"/>
        <c:lblAlgn val="ctr"/>
        <c:lblOffset val="100"/>
        <c:noMultiLvlLbl val="0"/>
      </c:catAx>
      <c:valAx>
        <c:axId val="516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6656"/>
        <c:crosses val="autoZero"/>
        <c:crossBetween val="between"/>
      </c:valAx>
      <c:valAx>
        <c:axId val="5160852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46608"/>
        <c:crosses val="max"/>
        <c:crossBetween val="between"/>
      </c:valAx>
      <c:catAx>
        <c:axId val="178146608"/>
        <c:scaling>
          <c:orientation val="minMax"/>
        </c:scaling>
        <c:delete val="1"/>
        <c:axPos val="l"/>
        <c:numFmt formatCode="General" sourceLinked="1"/>
        <c:majorTickMark val="out"/>
        <c:minorTickMark val="none"/>
        <c:tickLblPos val="nextTo"/>
        <c:crossAx val="51608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'Day13'!$B$22</c:f>
              <c:strCache>
                <c:ptCount val="1"/>
                <c:pt idx="0">
                  <c:v>Sum of Mathematics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'Day13'!$A$23:$A$28</c:f>
              <c:strCache>
                <c:ptCount val="5"/>
                <c:pt idx="0">
                  <c:v>Alok</c:v>
                </c:pt>
                <c:pt idx="1">
                  <c:v>Anu</c:v>
                </c:pt>
                <c:pt idx="2">
                  <c:v>Riya</c:v>
                </c:pt>
                <c:pt idx="3">
                  <c:v>Sanskriti</c:v>
                </c:pt>
                <c:pt idx="4">
                  <c:v>Shubh</c:v>
                </c:pt>
              </c:strCache>
            </c:strRef>
          </c:cat>
          <c:val>
            <c:numRef>
              <c:f>'Day13'!$B$23:$B$28</c:f>
              <c:numCache>
                <c:formatCode>General</c:formatCode>
                <c:ptCount val="5"/>
                <c:pt idx="0">
                  <c:v>74</c:v>
                </c:pt>
                <c:pt idx="1">
                  <c:v>78</c:v>
                </c:pt>
                <c:pt idx="2">
                  <c:v>88</c:v>
                </c:pt>
                <c:pt idx="3">
                  <c:v>85</c:v>
                </c:pt>
                <c:pt idx="4">
                  <c:v>92</c:v>
                </c:pt>
              </c:numCache>
            </c:numRef>
          </c:val>
          <c:smooth val="0"/>
          <c:extLst>
            <c:ext xmlns:c16="http://schemas.microsoft.com/office/drawing/2014/chart" uri="{C3380CC4-5D6E-409C-BE32-E72D297353CC}">
              <c16:uniqueId val="{00000000-2023-433C-947E-8AF5DBA96299}"/>
            </c:ext>
          </c:extLst>
        </c:ser>
        <c:ser>
          <c:idx val="1"/>
          <c:order val="1"/>
          <c:tx>
            <c:strRef>
              <c:f>'Day13'!$C$22</c:f>
              <c:strCache>
                <c:ptCount val="1"/>
                <c:pt idx="0">
                  <c:v>Sum of Science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'Day13'!$A$23:$A$28</c:f>
              <c:strCache>
                <c:ptCount val="5"/>
                <c:pt idx="0">
                  <c:v>Alok</c:v>
                </c:pt>
                <c:pt idx="1">
                  <c:v>Anu</c:v>
                </c:pt>
                <c:pt idx="2">
                  <c:v>Riya</c:v>
                </c:pt>
                <c:pt idx="3">
                  <c:v>Sanskriti</c:v>
                </c:pt>
                <c:pt idx="4">
                  <c:v>Shubh</c:v>
                </c:pt>
              </c:strCache>
            </c:strRef>
          </c:cat>
          <c:val>
            <c:numRef>
              <c:f>'Day13'!$C$23:$C$28</c:f>
              <c:numCache>
                <c:formatCode>General</c:formatCode>
                <c:ptCount val="5"/>
                <c:pt idx="1">
                  <c:v>84</c:v>
                </c:pt>
                <c:pt idx="2">
                  <c:v>93</c:v>
                </c:pt>
                <c:pt idx="3">
                  <c:v>91</c:v>
                </c:pt>
                <c:pt idx="4">
                  <c:v>89</c:v>
                </c:pt>
              </c:numCache>
            </c:numRef>
          </c:val>
          <c:smooth val="0"/>
          <c:extLst>
            <c:ext xmlns:c16="http://schemas.microsoft.com/office/drawing/2014/chart" uri="{C3380CC4-5D6E-409C-BE32-E72D297353CC}">
              <c16:uniqueId val="{00000001-2023-433C-947E-8AF5DBA96299}"/>
            </c:ext>
          </c:extLst>
        </c:ser>
        <c:ser>
          <c:idx val="2"/>
          <c:order val="2"/>
          <c:tx>
            <c:strRef>
              <c:f>'Day13'!$D$22</c:f>
              <c:strCache>
                <c:ptCount val="1"/>
                <c:pt idx="0">
                  <c:v>Sum of English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'Day13'!$A$23:$A$28</c:f>
              <c:strCache>
                <c:ptCount val="5"/>
                <c:pt idx="0">
                  <c:v>Alok</c:v>
                </c:pt>
                <c:pt idx="1">
                  <c:v>Anu</c:v>
                </c:pt>
                <c:pt idx="2">
                  <c:v>Riya</c:v>
                </c:pt>
                <c:pt idx="3">
                  <c:v>Sanskriti</c:v>
                </c:pt>
                <c:pt idx="4">
                  <c:v>Shubh</c:v>
                </c:pt>
              </c:strCache>
            </c:strRef>
          </c:cat>
          <c:val>
            <c:numRef>
              <c:f>'Day13'!$D$23:$D$28</c:f>
              <c:numCache>
                <c:formatCode>General</c:formatCode>
                <c:ptCount val="5"/>
                <c:pt idx="0">
                  <c:v>79</c:v>
                </c:pt>
                <c:pt idx="1">
                  <c:v>90</c:v>
                </c:pt>
                <c:pt idx="2">
                  <c:v>1</c:v>
                </c:pt>
                <c:pt idx="3">
                  <c:v>88</c:v>
                </c:pt>
                <c:pt idx="4">
                  <c:v>85</c:v>
                </c:pt>
              </c:numCache>
            </c:numRef>
          </c:val>
          <c:smooth val="0"/>
          <c:extLst>
            <c:ext xmlns:c16="http://schemas.microsoft.com/office/drawing/2014/chart" uri="{C3380CC4-5D6E-409C-BE32-E72D297353CC}">
              <c16:uniqueId val="{00000002-2023-433C-947E-8AF5DBA96299}"/>
            </c:ext>
          </c:extLst>
        </c:ser>
        <c:ser>
          <c:idx val="3"/>
          <c:order val="3"/>
          <c:tx>
            <c:strRef>
              <c:f>'Day13'!$E$22</c:f>
              <c:strCache>
                <c:ptCount val="1"/>
                <c:pt idx="0">
                  <c:v>Sum of Computer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'Day13'!$A$23:$A$28</c:f>
              <c:strCache>
                <c:ptCount val="5"/>
                <c:pt idx="0">
                  <c:v>Alok</c:v>
                </c:pt>
                <c:pt idx="1">
                  <c:v>Anu</c:v>
                </c:pt>
                <c:pt idx="2">
                  <c:v>Riya</c:v>
                </c:pt>
                <c:pt idx="3">
                  <c:v>Sanskriti</c:v>
                </c:pt>
                <c:pt idx="4">
                  <c:v>Shubh</c:v>
                </c:pt>
              </c:strCache>
            </c:strRef>
          </c:cat>
          <c:val>
            <c:numRef>
              <c:f>'Day13'!$E$23:$E$28</c:f>
              <c:numCache>
                <c:formatCode>General</c:formatCode>
                <c:ptCount val="5"/>
                <c:pt idx="0">
                  <c:v>86</c:v>
                </c:pt>
                <c:pt idx="1">
                  <c:v>88</c:v>
                </c:pt>
                <c:pt idx="2">
                  <c:v>89</c:v>
                </c:pt>
                <c:pt idx="3">
                  <c:v>95</c:v>
                </c:pt>
                <c:pt idx="4">
                  <c:v>94</c:v>
                </c:pt>
              </c:numCache>
            </c:numRef>
          </c:val>
          <c:smooth val="0"/>
          <c:extLst>
            <c:ext xmlns:c16="http://schemas.microsoft.com/office/drawing/2014/chart" uri="{C3380CC4-5D6E-409C-BE32-E72D297353CC}">
              <c16:uniqueId val="{00000003-2023-433C-947E-8AF5DBA96299}"/>
            </c:ext>
          </c:extLst>
        </c:ser>
        <c:ser>
          <c:idx val="4"/>
          <c:order val="4"/>
          <c:tx>
            <c:strRef>
              <c:f>'Day13'!$F$22</c:f>
              <c:strCache>
                <c:ptCount val="1"/>
                <c:pt idx="0">
                  <c:v>Sum of Social Science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'Day13'!$A$23:$A$28</c:f>
              <c:strCache>
                <c:ptCount val="5"/>
                <c:pt idx="0">
                  <c:v>Alok</c:v>
                </c:pt>
                <c:pt idx="1">
                  <c:v>Anu</c:v>
                </c:pt>
                <c:pt idx="2">
                  <c:v>Riya</c:v>
                </c:pt>
                <c:pt idx="3">
                  <c:v>Sanskriti</c:v>
                </c:pt>
                <c:pt idx="4">
                  <c:v>Shubh</c:v>
                </c:pt>
              </c:strCache>
            </c:strRef>
          </c:cat>
          <c:val>
            <c:numRef>
              <c:f>'Day13'!$F$23:$F$28</c:f>
              <c:numCache>
                <c:formatCode>General</c:formatCode>
                <c:ptCount val="5"/>
                <c:pt idx="0">
                  <c:v>83</c:v>
                </c:pt>
                <c:pt idx="1">
                  <c:v>76</c:v>
                </c:pt>
                <c:pt idx="2">
                  <c:v>87</c:v>
                </c:pt>
                <c:pt idx="3">
                  <c:v>82</c:v>
                </c:pt>
                <c:pt idx="4">
                  <c:v>90</c:v>
                </c:pt>
              </c:numCache>
            </c:numRef>
          </c:val>
          <c:smooth val="0"/>
          <c:extLst>
            <c:ext xmlns:c16="http://schemas.microsoft.com/office/drawing/2014/chart" uri="{C3380CC4-5D6E-409C-BE32-E72D297353CC}">
              <c16:uniqueId val="{00000004-2023-433C-947E-8AF5DBA96299}"/>
            </c:ext>
          </c:extLst>
        </c:ser>
        <c:dLbls>
          <c:showLegendKey val="0"/>
          <c:showVal val="0"/>
          <c:showCatName val="0"/>
          <c:showSerName val="0"/>
          <c:showPercent val="0"/>
          <c:showBubbleSize val="0"/>
        </c:dLbls>
        <c:marker val="1"/>
        <c:smooth val="0"/>
        <c:axId val="159945216"/>
        <c:axId val="51628208"/>
      </c:lineChart>
      <c:catAx>
        <c:axId val="1599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8208"/>
        <c:crosses val="autoZero"/>
        <c:auto val="1"/>
        <c:lblAlgn val="ctr"/>
        <c:lblOffset val="100"/>
        <c:noMultiLvlLbl val="0"/>
      </c:catAx>
      <c:valAx>
        <c:axId val="516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4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'Day13'!$J$6</c:f>
              <c:strCache>
                <c:ptCount val="1"/>
                <c:pt idx="0">
                  <c:v>Sum of Mathematics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BD-4FBF-B394-340C87AF23D8}"/>
              </c:ext>
            </c:extLst>
          </c:dPt>
          <c:cat>
            <c:strRef>
              <c:f>'Day13'!$I$7:$I$9</c:f>
              <c:strCache>
                <c:ptCount val="2"/>
                <c:pt idx="0">
                  <c:v>Fail</c:v>
                </c:pt>
                <c:pt idx="1">
                  <c:v>Pass</c:v>
                </c:pt>
              </c:strCache>
            </c:strRef>
          </c:cat>
          <c:val>
            <c:numRef>
              <c:f>'Day13'!$J$7:$J$9</c:f>
              <c:numCache>
                <c:formatCode>General</c:formatCode>
                <c:ptCount val="2"/>
                <c:pt idx="0">
                  <c:v>88</c:v>
                </c:pt>
                <c:pt idx="1">
                  <c:v>329</c:v>
                </c:pt>
              </c:numCache>
            </c:numRef>
          </c:val>
          <c:extLst>
            <c:ext xmlns:c16="http://schemas.microsoft.com/office/drawing/2014/chart" uri="{C3380CC4-5D6E-409C-BE32-E72D297353CC}">
              <c16:uniqueId val="{00000000-B2FC-45BD-87C4-FEC0EC780613}"/>
            </c:ext>
          </c:extLst>
        </c:ser>
        <c:ser>
          <c:idx val="1"/>
          <c:order val="1"/>
          <c:tx>
            <c:strRef>
              <c:f>'Day13'!$K$6</c:f>
              <c:strCache>
                <c:ptCount val="1"/>
                <c:pt idx="0">
                  <c:v>Sum of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6BD-4FBF-B394-340C87AF23D8}"/>
              </c:ext>
            </c:extLst>
          </c:dPt>
          <c:cat>
            <c:strRef>
              <c:f>'Day13'!$I$7:$I$9</c:f>
              <c:strCache>
                <c:ptCount val="2"/>
                <c:pt idx="0">
                  <c:v>Fail</c:v>
                </c:pt>
                <c:pt idx="1">
                  <c:v>Pass</c:v>
                </c:pt>
              </c:strCache>
            </c:strRef>
          </c:cat>
          <c:val>
            <c:numRef>
              <c:f>'Day13'!$K$7:$K$9</c:f>
              <c:numCache>
                <c:formatCode>General</c:formatCode>
                <c:ptCount val="2"/>
                <c:pt idx="0">
                  <c:v>93</c:v>
                </c:pt>
                <c:pt idx="1">
                  <c:v>264</c:v>
                </c:pt>
              </c:numCache>
            </c:numRef>
          </c:val>
          <c:extLst>
            <c:ext xmlns:c16="http://schemas.microsoft.com/office/drawing/2014/chart" uri="{C3380CC4-5D6E-409C-BE32-E72D297353CC}">
              <c16:uniqueId val="{00000001-B2FC-45BD-87C4-FEC0EC780613}"/>
            </c:ext>
          </c:extLst>
        </c:ser>
        <c:ser>
          <c:idx val="2"/>
          <c:order val="2"/>
          <c:tx>
            <c:strRef>
              <c:f>'Day13'!$L$6</c:f>
              <c:strCache>
                <c:ptCount val="1"/>
                <c:pt idx="0">
                  <c:v>Sum of English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6BD-4FBF-B394-340C87AF23D8}"/>
              </c:ext>
            </c:extLst>
          </c:dPt>
          <c:cat>
            <c:strRef>
              <c:f>'Day13'!$I$7:$I$9</c:f>
              <c:strCache>
                <c:ptCount val="2"/>
                <c:pt idx="0">
                  <c:v>Fail</c:v>
                </c:pt>
                <c:pt idx="1">
                  <c:v>Pass</c:v>
                </c:pt>
              </c:strCache>
            </c:strRef>
          </c:cat>
          <c:val>
            <c:numRef>
              <c:f>'Day13'!$L$7:$L$9</c:f>
              <c:numCache>
                <c:formatCode>General</c:formatCode>
                <c:ptCount val="2"/>
                <c:pt idx="0">
                  <c:v>1</c:v>
                </c:pt>
                <c:pt idx="1">
                  <c:v>342</c:v>
                </c:pt>
              </c:numCache>
            </c:numRef>
          </c:val>
          <c:extLst>
            <c:ext xmlns:c16="http://schemas.microsoft.com/office/drawing/2014/chart" uri="{C3380CC4-5D6E-409C-BE32-E72D297353CC}">
              <c16:uniqueId val="{00000002-B2FC-45BD-87C4-FEC0EC780613}"/>
            </c:ext>
          </c:extLst>
        </c:ser>
        <c:ser>
          <c:idx val="3"/>
          <c:order val="3"/>
          <c:tx>
            <c:strRef>
              <c:f>'Day13'!$M$6</c:f>
              <c:strCache>
                <c:ptCount val="1"/>
                <c:pt idx="0">
                  <c:v>Sum of Computer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F6BD-4FBF-B394-340C87AF23D8}"/>
              </c:ext>
            </c:extLst>
          </c:dPt>
          <c:cat>
            <c:strRef>
              <c:f>'Day13'!$I$7:$I$9</c:f>
              <c:strCache>
                <c:ptCount val="2"/>
                <c:pt idx="0">
                  <c:v>Fail</c:v>
                </c:pt>
                <c:pt idx="1">
                  <c:v>Pass</c:v>
                </c:pt>
              </c:strCache>
            </c:strRef>
          </c:cat>
          <c:val>
            <c:numRef>
              <c:f>'Day13'!$M$7:$M$9</c:f>
              <c:numCache>
                <c:formatCode>General</c:formatCode>
                <c:ptCount val="2"/>
                <c:pt idx="0">
                  <c:v>89</c:v>
                </c:pt>
                <c:pt idx="1">
                  <c:v>363</c:v>
                </c:pt>
              </c:numCache>
            </c:numRef>
          </c:val>
          <c:extLst>
            <c:ext xmlns:c16="http://schemas.microsoft.com/office/drawing/2014/chart" uri="{C3380CC4-5D6E-409C-BE32-E72D297353CC}">
              <c16:uniqueId val="{00000003-B2FC-45BD-87C4-FEC0EC780613}"/>
            </c:ext>
          </c:extLst>
        </c:ser>
        <c:ser>
          <c:idx val="4"/>
          <c:order val="4"/>
          <c:tx>
            <c:strRef>
              <c:f>'Day13'!$N$6</c:f>
              <c:strCache>
                <c:ptCount val="1"/>
                <c:pt idx="0">
                  <c:v>Sum of Social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F6BD-4FBF-B394-340C87AF23D8}"/>
              </c:ext>
            </c:extLst>
          </c:dPt>
          <c:cat>
            <c:strRef>
              <c:f>'Day13'!$I$7:$I$9</c:f>
              <c:strCache>
                <c:ptCount val="2"/>
                <c:pt idx="0">
                  <c:v>Fail</c:v>
                </c:pt>
                <c:pt idx="1">
                  <c:v>Pass</c:v>
                </c:pt>
              </c:strCache>
            </c:strRef>
          </c:cat>
          <c:val>
            <c:numRef>
              <c:f>'Day13'!$N$7:$N$9</c:f>
              <c:numCache>
                <c:formatCode>General</c:formatCode>
                <c:ptCount val="2"/>
                <c:pt idx="0">
                  <c:v>87</c:v>
                </c:pt>
                <c:pt idx="1">
                  <c:v>331</c:v>
                </c:pt>
              </c:numCache>
            </c:numRef>
          </c:val>
          <c:extLst>
            <c:ext xmlns:c16="http://schemas.microsoft.com/office/drawing/2014/chart" uri="{C3380CC4-5D6E-409C-BE32-E72D297353CC}">
              <c16:uniqueId val="{00000004-B2FC-45BD-87C4-FEC0EC7806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[15_Days_Task.xlsx]Day13!PivotTable2</c:name>
    <c:fmtId val="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'Day13'!$B$12</c:f>
              <c:strCache>
                <c:ptCount val="1"/>
                <c:pt idx="0">
                  <c:v>Sum of Total</c:v>
                </c:pt>
              </c:strCache>
            </c:strRef>
          </c:tx>
          <c:spPr>
            <a:solidFill>
              <a:schemeClr val="accent1"/>
            </a:solidFill>
            <a:ln>
              <a:noFill/>
            </a:ln>
            <a:effectLst/>
          </c:spPr>
          <c:invertIfNegative val="0"/>
          <c:cat>
            <c:strRef>
              <c:f>'Day13'!$A$13:$A$18</c:f>
              <c:strCache>
                <c:ptCount val="5"/>
                <c:pt idx="0">
                  <c:v>Alok</c:v>
                </c:pt>
                <c:pt idx="1">
                  <c:v>Anu</c:v>
                </c:pt>
                <c:pt idx="2">
                  <c:v>Riya</c:v>
                </c:pt>
                <c:pt idx="3">
                  <c:v>Sanskriti</c:v>
                </c:pt>
                <c:pt idx="4">
                  <c:v>Shubh</c:v>
                </c:pt>
              </c:strCache>
            </c:strRef>
          </c:cat>
          <c:val>
            <c:numRef>
              <c:f>'Day13'!$B$13:$B$18</c:f>
              <c:numCache>
                <c:formatCode>General</c:formatCode>
                <c:ptCount val="5"/>
                <c:pt idx="0">
                  <c:v>322</c:v>
                </c:pt>
                <c:pt idx="1">
                  <c:v>416</c:v>
                </c:pt>
                <c:pt idx="2">
                  <c:v>358</c:v>
                </c:pt>
                <c:pt idx="3">
                  <c:v>441</c:v>
                </c:pt>
                <c:pt idx="4">
                  <c:v>450</c:v>
                </c:pt>
              </c:numCache>
            </c:numRef>
          </c:val>
          <c:extLst>
            <c:ext xmlns:c16="http://schemas.microsoft.com/office/drawing/2014/chart" uri="{C3380CC4-5D6E-409C-BE32-E72D297353CC}">
              <c16:uniqueId val="{00000000-05B2-45C9-BDA7-5E270F86649D}"/>
            </c:ext>
          </c:extLst>
        </c:ser>
        <c:dLbls>
          <c:showLegendKey val="0"/>
          <c:showVal val="0"/>
          <c:showCatName val="0"/>
          <c:showSerName val="0"/>
          <c:showPercent val="0"/>
          <c:showBubbleSize val="0"/>
        </c:dLbls>
        <c:gapWidth val="219"/>
        <c:overlap val="100"/>
        <c:axId val="178146608"/>
        <c:axId val="51608528"/>
      </c:barChart>
      <c:lineChart>
        <c:grouping val="standard"/>
        <c:varyColors val="0"/>
        <c:ser>
          <c:idx val="1"/>
          <c:order val="1"/>
          <c:tx>
            <c:strRef>
              <c:f>'Day13'!$C$12</c:f>
              <c:strCache>
                <c:ptCount val="1"/>
                <c:pt idx="0">
                  <c:v>Sum of Percentage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'Day13'!$A$13:$A$18</c:f>
              <c:strCache>
                <c:ptCount val="5"/>
                <c:pt idx="0">
                  <c:v>Alok</c:v>
                </c:pt>
                <c:pt idx="1">
                  <c:v>Anu</c:v>
                </c:pt>
                <c:pt idx="2">
                  <c:v>Riya</c:v>
                </c:pt>
                <c:pt idx="3">
                  <c:v>Sanskriti</c:v>
                </c:pt>
                <c:pt idx="4">
                  <c:v>Shubh</c:v>
                </c:pt>
              </c:strCache>
            </c:strRef>
          </c:cat>
          <c:val>
            <c:numRef>
              <c:f>'Day13'!$C$13:$C$18</c:f>
              <c:numCache>
                <c:formatCode>General</c:formatCode>
                <c:ptCount val="5"/>
                <c:pt idx="0">
                  <c:v>64.400000000000006</c:v>
                </c:pt>
                <c:pt idx="1">
                  <c:v>83.2</c:v>
                </c:pt>
                <c:pt idx="2">
                  <c:v>71.599999999999994</c:v>
                </c:pt>
                <c:pt idx="3">
                  <c:v>88.2</c:v>
                </c:pt>
                <c:pt idx="4">
                  <c:v>90</c:v>
                </c:pt>
              </c:numCache>
            </c:numRef>
          </c:val>
          <c:smooth val="0"/>
          <c:extLst>
            <c:ext xmlns:c16="http://schemas.microsoft.com/office/drawing/2014/chart" uri="{C3380CC4-5D6E-409C-BE32-E72D297353CC}">
              <c16:uniqueId val="{00000001-05B2-45C9-BDA7-5E270F86649D}"/>
            </c:ext>
          </c:extLst>
        </c:ser>
        <c:dLbls>
          <c:showLegendKey val="0"/>
          <c:showVal val="0"/>
          <c:showCatName val="0"/>
          <c:showSerName val="0"/>
          <c:showPercent val="0"/>
          <c:showBubbleSize val="0"/>
        </c:dLbls>
        <c:marker val="1"/>
        <c:smooth val="0"/>
        <c:axId val="178126656"/>
        <c:axId val="51609008"/>
      </c:lineChart>
      <c:catAx>
        <c:axId val="1781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9008"/>
        <c:crosses val="autoZero"/>
        <c:auto val="1"/>
        <c:lblAlgn val="ctr"/>
        <c:lblOffset val="100"/>
        <c:noMultiLvlLbl val="0"/>
      </c:catAx>
      <c:valAx>
        <c:axId val="516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6656"/>
        <c:crosses val="autoZero"/>
        <c:crossBetween val="between"/>
      </c:valAx>
      <c:valAx>
        <c:axId val="5160852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46608"/>
        <c:crosses val="max"/>
        <c:crossBetween val="between"/>
      </c:valAx>
      <c:catAx>
        <c:axId val="178146608"/>
        <c:scaling>
          <c:orientation val="minMax"/>
        </c:scaling>
        <c:delete val="1"/>
        <c:axPos val="l"/>
        <c:numFmt formatCode="General" sourceLinked="1"/>
        <c:majorTickMark val="out"/>
        <c:minorTickMark val="none"/>
        <c:tickLblPos val="nextTo"/>
        <c:crossAx val="51608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[15_Days_Task.xlsx]Day13!PivotTable4</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doughnutChart>
        <c:varyColors val="1"/>
        <c:ser>
          <c:idx val="0"/>
          <c:order val="0"/>
          <c:tx>
            <c:strRef>
              <c:f>'Day13'!$J$6</c:f>
              <c:strCache>
                <c:ptCount val="1"/>
                <c:pt idx="0">
                  <c:v>Sum of Mathematics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C5-4C54-A01C-63E2215880F3}"/>
              </c:ext>
            </c:extLst>
          </c:dPt>
          <c:cat>
            <c:strRef>
              <c:f>'Day13'!$I$7:$I$9</c:f>
              <c:strCache>
                <c:ptCount val="2"/>
                <c:pt idx="0">
                  <c:v>Fail</c:v>
                </c:pt>
                <c:pt idx="1">
                  <c:v>Pass</c:v>
                </c:pt>
              </c:strCache>
            </c:strRef>
          </c:cat>
          <c:val>
            <c:numRef>
              <c:f>'Day13'!$J$7:$J$9</c:f>
              <c:numCache>
                <c:formatCode>General</c:formatCode>
                <c:ptCount val="2"/>
                <c:pt idx="0">
                  <c:v>88</c:v>
                </c:pt>
                <c:pt idx="1">
                  <c:v>329</c:v>
                </c:pt>
              </c:numCache>
            </c:numRef>
          </c:val>
          <c:extLst>
            <c:ext xmlns:c16="http://schemas.microsoft.com/office/drawing/2014/chart" uri="{C3380CC4-5D6E-409C-BE32-E72D297353CC}">
              <c16:uniqueId val="{00000004-BFC5-4C54-A01C-63E2215880F3}"/>
            </c:ext>
          </c:extLst>
        </c:ser>
        <c:ser>
          <c:idx val="1"/>
          <c:order val="1"/>
          <c:tx>
            <c:strRef>
              <c:f>'Day13'!$K$6</c:f>
              <c:strCache>
                <c:ptCount val="1"/>
                <c:pt idx="0">
                  <c:v>Sum of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FC5-4C54-A01C-63E2215880F3}"/>
              </c:ext>
            </c:extLst>
          </c:dPt>
          <c:cat>
            <c:strRef>
              <c:f>'Day13'!$I$7:$I$9</c:f>
              <c:strCache>
                <c:ptCount val="2"/>
                <c:pt idx="0">
                  <c:v>Fail</c:v>
                </c:pt>
                <c:pt idx="1">
                  <c:v>Pass</c:v>
                </c:pt>
              </c:strCache>
            </c:strRef>
          </c:cat>
          <c:val>
            <c:numRef>
              <c:f>'Day13'!$K$7:$K$9</c:f>
              <c:numCache>
                <c:formatCode>General</c:formatCode>
                <c:ptCount val="2"/>
                <c:pt idx="0">
                  <c:v>93</c:v>
                </c:pt>
                <c:pt idx="1">
                  <c:v>264</c:v>
                </c:pt>
              </c:numCache>
            </c:numRef>
          </c:val>
          <c:extLst>
            <c:ext xmlns:c16="http://schemas.microsoft.com/office/drawing/2014/chart" uri="{C3380CC4-5D6E-409C-BE32-E72D297353CC}">
              <c16:uniqueId val="{00000009-BFC5-4C54-A01C-63E2215880F3}"/>
            </c:ext>
          </c:extLst>
        </c:ser>
        <c:ser>
          <c:idx val="2"/>
          <c:order val="2"/>
          <c:tx>
            <c:strRef>
              <c:f>'Day13'!$L$6</c:f>
              <c:strCache>
                <c:ptCount val="1"/>
                <c:pt idx="0">
                  <c:v>Sum of English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BFC5-4C54-A01C-63E2215880F3}"/>
              </c:ext>
            </c:extLst>
          </c:dPt>
          <c:cat>
            <c:strRef>
              <c:f>'Day13'!$I$7:$I$9</c:f>
              <c:strCache>
                <c:ptCount val="2"/>
                <c:pt idx="0">
                  <c:v>Fail</c:v>
                </c:pt>
                <c:pt idx="1">
                  <c:v>Pass</c:v>
                </c:pt>
              </c:strCache>
            </c:strRef>
          </c:cat>
          <c:val>
            <c:numRef>
              <c:f>'Day13'!$L$7:$L$9</c:f>
              <c:numCache>
                <c:formatCode>General</c:formatCode>
                <c:ptCount val="2"/>
                <c:pt idx="0">
                  <c:v>1</c:v>
                </c:pt>
                <c:pt idx="1">
                  <c:v>342</c:v>
                </c:pt>
              </c:numCache>
            </c:numRef>
          </c:val>
          <c:extLst>
            <c:ext xmlns:c16="http://schemas.microsoft.com/office/drawing/2014/chart" uri="{C3380CC4-5D6E-409C-BE32-E72D297353CC}">
              <c16:uniqueId val="{0000000E-BFC5-4C54-A01C-63E2215880F3}"/>
            </c:ext>
          </c:extLst>
        </c:ser>
        <c:ser>
          <c:idx val="3"/>
          <c:order val="3"/>
          <c:tx>
            <c:strRef>
              <c:f>'Day13'!$M$6</c:f>
              <c:strCache>
                <c:ptCount val="1"/>
                <c:pt idx="0">
                  <c:v>Sum of Computer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BFC5-4C54-A01C-63E2215880F3}"/>
              </c:ext>
            </c:extLst>
          </c:dPt>
          <c:cat>
            <c:strRef>
              <c:f>'Day13'!$I$7:$I$9</c:f>
              <c:strCache>
                <c:ptCount val="2"/>
                <c:pt idx="0">
                  <c:v>Fail</c:v>
                </c:pt>
                <c:pt idx="1">
                  <c:v>Pass</c:v>
                </c:pt>
              </c:strCache>
            </c:strRef>
          </c:cat>
          <c:val>
            <c:numRef>
              <c:f>'Day13'!$M$7:$M$9</c:f>
              <c:numCache>
                <c:formatCode>General</c:formatCode>
                <c:ptCount val="2"/>
                <c:pt idx="0">
                  <c:v>89</c:v>
                </c:pt>
                <c:pt idx="1">
                  <c:v>363</c:v>
                </c:pt>
              </c:numCache>
            </c:numRef>
          </c:val>
          <c:extLst>
            <c:ext xmlns:c16="http://schemas.microsoft.com/office/drawing/2014/chart" uri="{C3380CC4-5D6E-409C-BE32-E72D297353CC}">
              <c16:uniqueId val="{00000013-BFC5-4C54-A01C-63E2215880F3}"/>
            </c:ext>
          </c:extLst>
        </c:ser>
        <c:ser>
          <c:idx val="4"/>
          <c:order val="4"/>
          <c:tx>
            <c:strRef>
              <c:f>'Day13'!$N$6</c:f>
              <c:strCache>
                <c:ptCount val="1"/>
                <c:pt idx="0">
                  <c:v>Sum of Social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BFC5-4C54-A01C-63E2215880F3}"/>
              </c:ext>
            </c:extLst>
          </c:dPt>
          <c:cat>
            <c:strRef>
              <c:f>'Day13'!$I$7:$I$9</c:f>
              <c:strCache>
                <c:ptCount val="2"/>
                <c:pt idx="0">
                  <c:v>Fail</c:v>
                </c:pt>
                <c:pt idx="1">
                  <c:v>Pass</c:v>
                </c:pt>
              </c:strCache>
            </c:strRef>
          </c:cat>
          <c:val>
            <c:numRef>
              <c:f>'Day13'!$N$7:$N$9</c:f>
              <c:numCache>
                <c:formatCode>General</c:formatCode>
                <c:ptCount val="2"/>
                <c:pt idx="0">
                  <c:v>87</c:v>
                </c:pt>
                <c:pt idx="1">
                  <c:v>331</c:v>
                </c:pt>
              </c:numCache>
            </c:numRef>
          </c:val>
          <c:extLst>
            <c:ext xmlns:c16="http://schemas.microsoft.com/office/drawing/2014/chart" uri="{C3380CC4-5D6E-409C-BE32-E72D297353CC}">
              <c16:uniqueId val="{00000018-BFC5-4C54-A01C-63E2215880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[15_Days_Task.xlsx]Day13!PivotTable3</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'Day13'!$B$22</c:f>
              <c:strCache>
                <c:ptCount val="1"/>
                <c:pt idx="0">
                  <c:v>Sum of Mathematics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'Day13'!$A$23:$A$28</c:f>
              <c:strCache>
                <c:ptCount val="5"/>
                <c:pt idx="0">
                  <c:v>Alok</c:v>
                </c:pt>
                <c:pt idx="1">
                  <c:v>Anu</c:v>
                </c:pt>
                <c:pt idx="2">
                  <c:v>Riya</c:v>
                </c:pt>
                <c:pt idx="3">
                  <c:v>Sanskriti</c:v>
                </c:pt>
                <c:pt idx="4">
                  <c:v>Shubh</c:v>
                </c:pt>
              </c:strCache>
            </c:strRef>
          </c:cat>
          <c:val>
            <c:numRef>
              <c:f>'Day13'!$B$23:$B$28</c:f>
              <c:numCache>
                <c:formatCode>General</c:formatCode>
                <c:ptCount val="5"/>
                <c:pt idx="0">
                  <c:v>74</c:v>
                </c:pt>
                <c:pt idx="1">
                  <c:v>78</c:v>
                </c:pt>
                <c:pt idx="2">
                  <c:v>88</c:v>
                </c:pt>
                <c:pt idx="3">
                  <c:v>85</c:v>
                </c:pt>
                <c:pt idx="4">
                  <c:v>92</c:v>
                </c:pt>
              </c:numCache>
            </c:numRef>
          </c:val>
          <c:smooth val="0"/>
          <c:extLst>
            <c:ext xmlns:c16="http://schemas.microsoft.com/office/drawing/2014/chart" uri="{C3380CC4-5D6E-409C-BE32-E72D297353CC}">
              <c16:uniqueId val="{00000000-A8A7-4BF0-88FF-265D0D817AB1}"/>
            </c:ext>
          </c:extLst>
        </c:ser>
        <c:ser>
          <c:idx val="1"/>
          <c:order val="1"/>
          <c:tx>
            <c:strRef>
              <c:f>'Day13'!$C$22</c:f>
              <c:strCache>
                <c:ptCount val="1"/>
                <c:pt idx="0">
                  <c:v>Sum of Science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'Day13'!$A$23:$A$28</c:f>
              <c:strCache>
                <c:ptCount val="5"/>
                <c:pt idx="0">
                  <c:v>Alok</c:v>
                </c:pt>
                <c:pt idx="1">
                  <c:v>Anu</c:v>
                </c:pt>
                <c:pt idx="2">
                  <c:v>Riya</c:v>
                </c:pt>
                <c:pt idx="3">
                  <c:v>Sanskriti</c:v>
                </c:pt>
                <c:pt idx="4">
                  <c:v>Shubh</c:v>
                </c:pt>
              </c:strCache>
            </c:strRef>
          </c:cat>
          <c:val>
            <c:numRef>
              <c:f>'Day13'!$C$23:$C$28</c:f>
              <c:numCache>
                <c:formatCode>General</c:formatCode>
                <c:ptCount val="5"/>
                <c:pt idx="1">
                  <c:v>84</c:v>
                </c:pt>
                <c:pt idx="2">
                  <c:v>93</c:v>
                </c:pt>
                <c:pt idx="3">
                  <c:v>91</c:v>
                </c:pt>
                <c:pt idx="4">
                  <c:v>89</c:v>
                </c:pt>
              </c:numCache>
            </c:numRef>
          </c:val>
          <c:smooth val="0"/>
          <c:extLst>
            <c:ext xmlns:c16="http://schemas.microsoft.com/office/drawing/2014/chart" uri="{C3380CC4-5D6E-409C-BE32-E72D297353CC}">
              <c16:uniqueId val="{00000001-A8A7-4BF0-88FF-265D0D817AB1}"/>
            </c:ext>
          </c:extLst>
        </c:ser>
        <c:ser>
          <c:idx val="2"/>
          <c:order val="2"/>
          <c:tx>
            <c:strRef>
              <c:f>'Day13'!$D$22</c:f>
              <c:strCache>
                <c:ptCount val="1"/>
                <c:pt idx="0">
                  <c:v>Sum of English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'Day13'!$A$23:$A$28</c:f>
              <c:strCache>
                <c:ptCount val="5"/>
                <c:pt idx="0">
                  <c:v>Alok</c:v>
                </c:pt>
                <c:pt idx="1">
                  <c:v>Anu</c:v>
                </c:pt>
                <c:pt idx="2">
                  <c:v>Riya</c:v>
                </c:pt>
                <c:pt idx="3">
                  <c:v>Sanskriti</c:v>
                </c:pt>
                <c:pt idx="4">
                  <c:v>Shubh</c:v>
                </c:pt>
              </c:strCache>
            </c:strRef>
          </c:cat>
          <c:val>
            <c:numRef>
              <c:f>'Day13'!$D$23:$D$28</c:f>
              <c:numCache>
                <c:formatCode>General</c:formatCode>
                <c:ptCount val="5"/>
                <c:pt idx="0">
                  <c:v>79</c:v>
                </c:pt>
                <c:pt idx="1">
                  <c:v>90</c:v>
                </c:pt>
                <c:pt idx="2">
                  <c:v>1</c:v>
                </c:pt>
                <c:pt idx="3">
                  <c:v>88</c:v>
                </c:pt>
                <c:pt idx="4">
                  <c:v>85</c:v>
                </c:pt>
              </c:numCache>
            </c:numRef>
          </c:val>
          <c:smooth val="0"/>
          <c:extLst>
            <c:ext xmlns:c16="http://schemas.microsoft.com/office/drawing/2014/chart" uri="{C3380CC4-5D6E-409C-BE32-E72D297353CC}">
              <c16:uniqueId val="{00000002-A8A7-4BF0-88FF-265D0D817AB1}"/>
            </c:ext>
          </c:extLst>
        </c:ser>
        <c:ser>
          <c:idx val="3"/>
          <c:order val="3"/>
          <c:tx>
            <c:strRef>
              <c:f>'Day13'!$E$22</c:f>
              <c:strCache>
                <c:ptCount val="1"/>
                <c:pt idx="0">
                  <c:v>Sum of Computer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'Day13'!$A$23:$A$28</c:f>
              <c:strCache>
                <c:ptCount val="5"/>
                <c:pt idx="0">
                  <c:v>Alok</c:v>
                </c:pt>
                <c:pt idx="1">
                  <c:v>Anu</c:v>
                </c:pt>
                <c:pt idx="2">
                  <c:v>Riya</c:v>
                </c:pt>
                <c:pt idx="3">
                  <c:v>Sanskriti</c:v>
                </c:pt>
                <c:pt idx="4">
                  <c:v>Shubh</c:v>
                </c:pt>
              </c:strCache>
            </c:strRef>
          </c:cat>
          <c:val>
            <c:numRef>
              <c:f>'Day13'!$E$23:$E$28</c:f>
              <c:numCache>
                <c:formatCode>General</c:formatCode>
                <c:ptCount val="5"/>
                <c:pt idx="0">
                  <c:v>86</c:v>
                </c:pt>
                <c:pt idx="1">
                  <c:v>88</c:v>
                </c:pt>
                <c:pt idx="2">
                  <c:v>89</c:v>
                </c:pt>
                <c:pt idx="3">
                  <c:v>95</c:v>
                </c:pt>
                <c:pt idx="4">
                  <c:v>94</c:v>
                </c:pt>
              </c:numCache>
            </c:numRef>
          </c:val>
          <c:smooth val="0"/>
          <c:extLst>
            <c:ext xmlns:c16="http://schemas.microsoft.com/office/drawing/2014/chart" uri="{C3380CC4-5D6E-409C-BE32-E72D297353CC}">
              <c16:uniqueId val="{00000003-A8A7-4BF0-88FF-265D0D817AB1}"/>
            </c:ext>
          </c:extLst>
        </c:ser>
        <c:ser>
          <c:idx val="4"/>
          <c:order val="4"/>
          <c:tx>
            <c:strRef>
              <c:f>'Day13'!$F$22</c:f>
              <c:strCache>
                <c:ptCount val="1"/>
                <c:pt idx="0">
                  <c:v>Sum of Social Science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'Day13'!$A$23:$A$28</c:f>
              <c:strCache>
                <c:ptCount val="5"/>
                <c:pt idx="0">
                  <c:v>Alok</c:v>
                </c:pt>
                <c:pt idx="1">
                  <c:v>Anu</c:v>
                </c:pt>
                <c:pt idx="2">
                  <c:v>Riya</c:v>
                </c:pt>
                <c:pt idx="3">
                  <c:v>Sanskriti</c:v>
                </c:pt>
                <c:pt idx="4">
                  <c:v>Shubh</c:v>
                </c:pt>
              </c:strCache>
            </c:strRef>
          </c:cat>
          <c:val>
            <c:numRef>
              <c:f>'Day13'!$F$23:$F$28</c:f>
              <c:numCache>
                <c:formatCode>General</c:formatCode>
                <c:ptCount val="5"/>
                <c:pt idx="0">
                  <c:v>83</c:v>
                </c:pt>
                <c:pt idx="1">
                  <c:v>76</c:v>
                </c:pt>
                <c:pt idx="2">
                  <c:v>87</c:v>
                </c:pt>
                <c:pt idx="3">
                  <c:v>82</c:v>
                </c:pt>
                <c:pt idx="4">
                  <c:v>90</c:v>
                </c:pt>
              </c:numCache>
            </c:numRef>
          </c:val>
          <c:smooth val="0"/>
          <c:extLst>
            <c:ext xmlns:c16="http://schemas.microsoft.com/office/drawing/2014/chart" uri="{C3380CC4-5D6E-409C-BE32-E72D297353CC}">
              <c16:uniqueId val="{00000004-A8A7-4BF0-88FF-265D0D817AB1}"/>
            </c:ext>
          </c:extLst>
        </c:ser>
        <c:dLbls>
          <c:showLegendKey val="0"/>
          <c:showVal val="0"/>
          <c:showCatName val="0"/>
          <c:showSerName val="0"/>
          <c:showPercent val="0"/>
          <c:showBubbleSize val="0"/>
        </c:dLbls>
        <c:marker val="1"/>
        <c:smooth val="0"/>
        <c:axId val="159945216"/>
        <c:axId val="51628208"/>
      </c:lineChart>
      <c:catAx>
        <c:axId val="1599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8208"/>
        <c:crosses val="autoZero"/>
        <c:auto val="1"/>
        <c:lblAlgn val="ctr"/>
        <c:lblOffset val="100"/>
        <c:noMultiLvlLbl val="0"/>
      </c:catAx>
      <c:valAx>
        <c:axId val="516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45216"/>
        <c:crosses val="autoZero"/>
        <c:crossBetween val="between"/>
      </c:valAx>
      <c:spPr>
        <a:noFill/>
        <a:ln>
          <a:noFill/>
        </a:ln>
        <a:effectLst/>
      </c:spPr>
    </c:plotArea>
    <c:legend>
      <c:legendPos val="r"/>
      <c:layout>
        <c:manualLayout>
          <c:xMode val="edge"/>
          <c:yMode val="edge"/>
          <c:x val="0.62161393008783561"/>
          <c:y val="9.477244765673791E-2"/>
          <c:w val="0.34835073700873309"/>
          <c:h val="0.8104551046865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669664</xdr:colOff>
      <xdr:row>10</xdr:row>
      <xdr:rowOff>26447</xdr:rowOff>
    </xdr:from>
    <xdr:to>
      <xdr:col>6</xdr:col>
      <xdr:colOff>52444</xdr:colOff>
      <xdr:row>19</xdr:row>
      <xdr:rowOff>160021</xdr:rowOff>
    </xdr:to>
    <xdr:graphicFrame macro="">
      <xdr:nvGraphicFramePr>
        <xdr:cNvPr id="2" name="Chart 1">
          <a:extLst>
            <a:ext uri="{FF2B5EF4-FFF2-40B4-BE49-F238E27FC236}">
              <a16:creationId xmlns:a16="http://schemas.microsoft.com/office/drawing/2014/main" id="{85906A0C-EDDB-F757-DC65-B4D0515E9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20</xdr:row>
      <xdr:rowOff>129540</xdr:rowOff>
    </xdr:from>
    <xdr:to>
      <xdr:col>9</xdr:col>
      <xdr:colOff>762000</xdr:colOff>
      <xdr:row>30</xdr:row>
      <xdr:rowOff>152400</xdr:rowOff>
    </xdr:to>
    <xdr:graphicFrame macro="">
      <xdr:nvGraphicFramePr>
        <xdr:cNvPr id="3" name="Chart 2">
          <a:extLst>
            <a:ext uri="{FF2B5EF4-FFF2-40B4-BE49-F238E27FC236}">
              <a16:creationId xmlns:a16="http://schemas.microsoft.com/office/drawing/2014/main" id="{32AC0C98-8A00-0F7E-0905-4C714C636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1219200</xdr:colOff>
      <xdr:row>9</xdr:row>
      <xdr:rowOff>121920</xdr:rowOff>
    </xdr:from>
    <xdr:to>
      <xdr:col>12</xdr:col>
      <xdr:colOff>906780</xdr:colOff>
      <xdr:row>21</xdr:row>
      <xdr:rowOff>7620</xdr:rowOff>
    </xdr:to>
    <xdr:graphicFrame macro="">
      <xdr:nvGraphicFramePr>
        <xdr:cNvPr id="4" name="Chart 3">
          <a:extLst>
            <a:ext uri="{FF2B5EF4-FFF2-40B4-BE49-F238E27FC236}">
              <a16:creationId xmlns:a16="http://schemas.microsoft.com/office/drawing/2014/main" id="{65FDCF51-6F76-D8AA-A52E-F0B05A06D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971325</xdr:colOff>
      <xdr:row>21</xdr:row>
      <xdr:rowOff>125506</xdr:rowOff>
    </xdr:from>
    <xdr:to>
      <xdr:col>11</xdr:col>
      <xdr:colOff>460337</xdr:colOff>
      <xdr:row>35</xdr:row>
      <xdr:rowOff>82363</xdr:rowOff>
    </xdr:to>
    <mc:AlternateContent xmlns:mc="http://schemas.openxmlformats.org/markup-compatibility/2006" xmlns:a14="http://schemas.microsoft.com/office/drawing/2010/main">
      <mc:Choice Requires="a14">
        <xdr:graphicFrame macro="">
          <xdr:nvGraphicFramePr>
            <xdr:cNvPr id="5" name="Student ID">
              <a:extLst>
                <a:ext uri="{FF2B5EF4-FFF2-40B4-BE49-F238E27FC236}">
                  <a16:creationId xmlns:a16="http://schemas.microsoft.com/office/drawing/2014/main" id="{6F51DA2D-2A68-58DD-68C0-E1AC7866E506}"/>
                </a:ext>
              </a:extLst>
            </xdr:cNvPr>
            <xdr:cNvGraphicFramePr/>
          </xdr:nvGraphicFramePr>
          <xdr:xfrm>
            <a:off x="0" y="0"/>
            <a:ext cx="0" cy="0"/>
          </xdr:xfrm>
          <a:graphic>
            <a:graphicData uri="http://schemas.microsoft.com/office/drawing/2010/slicer">
              <sle:slicer xmlns:sle="http://schemas.microsoft.com/office/drawing/2010/slicer" name="Student ID"/>
            </a:graphicData>
          </a:graphic>
        </xdr:graphicFrame>
      </mc:Choice>
      <mc:Fallback xmlns="">
        <xdr:sp macro="" textlink="">
          <xdr:nvSpPr>
            <xdr:cNvPr id="0" name=""/>
            <xdr:cNvSpPr>
              <a:spLocks noTextEdit="1"/>
            </xdr:cNvSpPr>
          </xdr:nvSpPr>
          <xdr:spPr>
            <a:xfrm>
              <a:off x="9622266" y="389068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357693</xdr:colOff>
      <xdr:row>22</xdr:row>
      <xdr:rowOff>31825</xdr:rowOff>
    </xdr:from>
    <xdr:to>
      <xdr:col>13</xdr:col>
      <xdr:colOff>1039011</xdr:colOff>
      <xdr:row>35</xdr:row>
      <xdr:rowOff>167977</xdr:rowOff>
    </xdr:to>
    <mc:AlternateContent xmlns:mc="http://schemas.openxmlformats.org/markup-compatibility/2006" xmlns:a14="http://schemas.microsoft.com/office/drawing/2010/main">
      <mc:Choice Requires="a14">
        <xdr:graphicFrame macro="">
          <xdr:nvGraphicFramePr>
            <xdr:cNvPr id="6" name="Last Name">
              <a:extLst>
                <a:ext uri="{FF2B5EF4-FFF2-40B4-BE49-F238E27FC236}">
                  <a16:creationId xmlns:a16="http://schemas.microsoft.com/office/drawing/2014/main" id="{E0DB7EA6-8A1B-B888-ED80-17B613FD153A}"/>
                </a:ext>
              </a:extLst>
            </xdr:cNvPr>
            <xdr:cNvGraphicFramePr/>
          </xdr:nvGraphicFramePr>
          <xdr:xfrm>
            <a:off x="0" y="0"/>
            <a:ext cx="0" cy="0"/>
          </xdr:xfrm>
          <a:graphic>
            <a:graphicData uri="http://schemas.microsoft.com/office/drawing/2010/slicer">
              <sle:slicer xmlns:sle="http://schemas.microsoft.com/office/drawing/2010/slicer" name="Last Name"/>
            </a:graphicData>
          </a:graphic>
        </xdr:graphicFrame>
      </mc:Choice>
      <mc:Fallback xmlns="">
        <xdr:sp macro="" textlink="">
          <xdr:nvSpPr>
            <xdr:cNvPr id="0" name=""/>
            <xdr:cNvSpPr>
              <a:spLocks noTextEdit="1"/>
            </xdr:cNvSpPr>
          </xdr:nvSpPr>
          <xdr:spPr>
            <a:xfrm>
              <a:off x="12316611" y="39762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102645</xdr:colOff>
      <xdr:row>14</xdr:row>
      <xdr:rowOff>171225</xdr:rowOff>
    </xdr:from>
    <xdr:to>
      <xdr:col>17</xdr:col>
      <xdr:colOff>102645</xdr:colOff>
      <xdr:row>28</xdr:row>
      <xdr:rowOff>128083</xdr:rowOff>
    </xdr:to>
    <mc:AlternateContent xmlns:mc="http://schemas.openxmlformats.org/markup-compatibility/2006" xmlns:a14="http://schemas.microsoft.com/office/drawing/2010/main">
      <mc:Choice Requires="a14">
        <xdr:graphicFrame macro="">
          <xdr:nvGraphicFramePr>
            <xdr:cNvPr id="7" name="Is_Fail">
              <a:extLst>
                <a:ext uri="{FF2B5EF4-FFF2-40B4-BE49-F238E27FC236}">
                  <a16:creationId xmlns:a16="http://schemas.microsoft.com/office/drawing/2014/main" id="{0363D894-320E-93BC-9322-4D9DBBE76045}"/>
                </a:ext>
              </a:extLst>
            </xdr:cNvPr>
            <xdr:cNvGraphicFramePr/>
          </xdr:nvGraphicFramePr>
          <xdr:xfrm>
            <a:off x="0" y="0"/>
            <a:ext cx="0" cy="0"/>
          </xdr:xfrm>
          <a:graphic>
            <a:graphicData uri="http://schemas.microsoft.com/office/drawing/2010/slicer">
              <sle:slicer xmlns:sle="http://schemas.microsoft.com/office/drawing/2010/slicer" name="Is_Fail"/>
            </a:graphicData>
          </a:graphic>
        </xdr:graphicFrame>
      </mc:Choice>
      <mc:Fallback xmlns="">
        <xdr:sp macro="" textlink="">
          <xdr:nvSpPr>
            <xdr:cNvPr id="0" name=""/>
            <xdr:cNvSpPr>
              <a:spLocks noTextEdit="1"/>
            </xdr:cNvSpPr>
          </xdr:nvSpPr>
          <xdr:spPr>
            <a:xfrm>
              <a:off x="14607539" y="268134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188258</xdr:colOff>
      <xdr:row>10</xdr:row>
      <xdr:rowOff>17929</xdr:rowOff>
    </xdr:from>
    <xdr:to>
      <xdr:col>7</xdr:col>
      <xdr:colOff>62752</xdr:colOff>
      <xdr:row>15</xdr:row>
      <xdr:rowOff>107576</xdr:rowOff>
    </xdr:to>
    <xdr:sp macro="" textlink="">
      <xdr:nvSpPr>
        <xdr:cNvPr id="2" name="Rectangle: Rounded Corners 1">
          <a:extLst>
            <a:ext uri="{FF2B5EF4-FFF2-40B4-BE49-F238E27FC236}">
              <a16:creationId xmlns:a16="http://schemas.microsoft.com/office/drawing/2014/main" id="{F87437BE-47A5-0AA7-0A55-0D668C693620}"/>
            </a:ext>
          </a:extLst>
        </xdr:cNvPr>
        <xdr:cNvSpPr/>
      </xdr:nvSpPr>
      <xdr:spPr>
        <a:xfrm>
          <a:off x="1407458" y="1810870"/>
          <a:ext cx="2922494" cy="9861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STUDENT MARKS DASHBOARD</a:t>
          </a:r>
        </a:p>
        <a:p>
          <a:pPr algn="l"/>
          <a:endParaRPr lang="en-IN" sz="1100"/>
        </a:p>
      </xdr:txBody>
    </xdr:sp>
    <xdr:clientData/>
  </xdr:twoCellAnchor>
  <xdr:twoCellAnchor>
    <xdr:from>
      <xdr:col>7</xdr:col>
      <xdr:colOff>233081</xdr:colOff>
      <xdr:row>9</xdr:row>
      <xdr:rowOff>179293</xdr:rowOff>
    </xdr:from>
    <xdr:to>
      <xdr:col>9</xdr:col>
      <xdr:colOff>62752</xdr:colOff>
      <xdr:row>15</xdr:row>
      <xdr:rowOff>71715</xdr:rowOff>
    </xdr:to>
    <xdr:sp macro="" textlink="">
      <xdr:nvSpPr>
        <xdr:cNvPr id="3" name="Rectangle: Rounded Corners 2">
          <a:extLst>
            <a:ext uri="{FF2B5EF4-FFF2-40B4-BE49-F238E27FC236}">
              <a16:creationId xmlns:a16="http://schemas.microsoft.com/office/drawing/2014/main" id="{5141EFAA-07EB-4E6D-88F4-F4CC6EF72118}"/>
            </a:ext>
          </a:extLst>
        </xdr:cNvPr>
        <xdr:cNvSpPr/>
      </xdr:nvSpPr>
      <xdr:spPr>
        <a:xfrm>
          <a:off x="4500281" y="1792940"/>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a:t>
          </a:r>
          <a:r>
            <a:rPr lang="en-IN" sz="1200" baseline="0"/>
            <a:t> In Maths</a:t>
          </a:r>
        </a:p>
        <a:p>
          <a:pPr algn="l"/>
          <a:endParaRPr lang="en-IN" sz="1200"/>
        </a:p>
      </xdr:txBody>
    </xdr:sp>
    <xdr:clientData/>
  </xdr:twoCellAnchor>
  <xdr:twoCellAnchor>
    <xdr:from>
      <xdr:col>9</xdr:col>
      <xdr:colOff>179293</xdr:colOff>
      <xdr:row>9</xdr:row>
      <xdr:rowOff>161364</xdr:rowOff>
    </xdr:from>
    <xdr:to>
      <xdr:col>11</xdr:col>
      <xdr:colOff>8964</xdr:colOff>
      <xdr:row>15</xdr:row>
      <xdr:rowOff>53786</xdr:rowOff>
    </xdr:to>
    <xdr:sp macro="" textlink="">
      <xdr:nvSpPr>
        <xdr:cNvPr id="7" name="Rectangle: Rounded Corners 6">
          <a:extLst>
            <a:ext uri="{FF2B5EF4-FFF2-40B4-BE49-F238E27FC236}">
              <a16:creationId xmlns:a16="http://schemas.microsoft.com/office/drawing/2014/main" id="{34D8881E-2559-4E6A-B21A-C7CF970ABDE4}"/>
            </a:ext>
          </a:extLst>
        </xdr:cNvPr>
        <xdr:cNvSpPr/>
      </xdr:nvSpPr>
      <xdr:spPr>
        <a:xfrm>
          <a:off x="5665693" y="1775011"/>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Science</a:t>
          </a:r>
          <a:endParaRPr lang="en-IN" sz="1200">
            <a:effectLst/>
          </a:endParaRPr>
        </a:p>
        <a:p>
          <a:pPr algn="l"/>
          <a:endParaRPr lang="en-IN" sz="1200"/>
        </a:p>
      </xdr:txBody>
    </xdr:sp>
    <xdr:clientData/>
  </xdr:twoCellAnchor>
  <xdr:twoCellAnchor>
    <xdr:from>
      <xdr:col>11</xdr:col>
      <xdr:colOff>152399</xdr:colOff>
      <xdr:row>9</xdr:row>
      <xdr:rowOff>152399</xdr:rowOff>
    </xdr:from>
    <xdr:to>
      <xdr:col>12</xdr:col>
      <xdr:colOff>591670</xdr:colOff>
      <xdr:row>15</xdr:row>
      <xdr:rowOff>44821</xdr:rowOff>
    </xdr:to>
    <xdr:sp macro="" textlink="">
      <xdr:nvSpPr>
        <xdr:cNvPr id="8" name="Rectangle: Rounded Corners 7">
          <a:extLst>
            <a:ext uri="{FF2B5EF4-FFF2-40B4-BE49-F238E27FC236}">
              <a16:creationId xmlns:a16="http://schemas.microsoft.com/office/drawing/2014/main" id="{C5DD7334-C48F-4834-A04B-49FBA244D696}"/>
            </a:ext>
          </a:extLst>
        </xdr:cNvPr>
        <xdr:cNvSpPr/>
      </xdr:nvSpPr>
      <xdr:spPr>
        <a:xfrm>
          <a:off x="6857999"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Social Science</a:t>
          </a:r>
          <a:endParaRPr lang="en-IN" sz="1200">
            <a:effectLst/>
          </a:endParaRPr>
        </a:p>
        <a:p>
          <a:pPr algn="l"/>
          <a:endParaRPr lang="en-IN" sz="1200"/>
        </a:p>
      </xdr:txBody>
    </xdr:sp>
    <xdr:clientData/>
  </xdr:twoCellAnchor>
  <xdr:twoCellAnchor>
    <xdr:from>
      <xdr:col>13</xdr:col>
      <xdr:colOff>116540</xdr:colOff>
      <xdr:row>9</xdr:row>
      <xdr:rowOff>152399</xdr:rowOff>
    </xdr:from>
    <xdr:to>
      <xdr:col>14</xdr:col>
      <xdr:colOff>555811</xdr:colOff>
      <xdr:row>15</xdr:row>
      <xdr:rowOff>44821</xdr:rowOff>
    </xdr:to>
    <xdr:sp macro="" textlink="">
      <xdr:nvSpPr>
        <xdr:cNvPr id="9" name="Rectangle: Rounded Corners 8">
          <a:extLst>
            <a:ext uri="{FF2B5EF4-FFF2-40B4-BE49-F238E27FC236}">
              <a16:creationId xmlns:a16="http://schemas.microsoft.com/office/drawing/2014/main" id="{8159C3DB-5000-4CC8-BCEF-E1937D69F259}"/>
            </a:ext>
          </a:extLst>
        </xdr:cNvPr>
        <xdr:cNvSpPr/>
      </xdr:nvSpPr>
      <xdr:spPr>
        <a:xfrm>
          <a:off x="8041340"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Computer</a:t>
          </a:r>
          <a:endParaRPr lang="en-IN" sz="1200">
            <a:effectLst/>
          </a:endParaRPr>
        </a:p>
        <a:p>
          <a:pPr algn="l"/>
          <a:endParaRPr lang="en-IN" sz="1200"/>
        </a:p>
      </xdr:txBody>
    </xdr:sp>
    <xdr:clientData/>
  </xdr:twoCellAnchor>
  <xdr:twoCellAnchor>
    <xdr:from>
      <xdr:col>15</xdr:col>
      <xdr:colOff>53787</xdr:colOff>
      <xdr:row>9</xdr:row>
      <xdr:rowOff>152399</xdr:rowOff>
    </xdr:from>
    <xdr:to>
      <xdr:col>16</xdr:col>
      <xdr:colOff>493058</xdr:colOff>
      <xdr:row>15</xdr:row>
      <xdr:rowOff>44821</xdr:rowOff>
    </xdr:to>
    <xdr:sp macro="" textlink="">
      <xdr:nvSpPr>
        <xdr:cNvPr id="10" name="Rectangle: Rounded Corners 9">
          <a:extLst>
            <a:ext uri="{FF2B5EF4-FFF2-40B4-BE49-F238E27FC236}">
              <a16:creationId xmlns:a16="http://schemas.microsoft.com/office/drawing/2014/main" id="{39B5BF81-2781-42EE-B3DB-6EBD32D0ED2C}"/>
            </a:ext>
          </a:extLst>
        </xdr:cNvPr>
        <xdr:cNvSpPr/>
      </xdr:nvSpPr>
      <xdr:spPr>
        <a:xfrm>
          <a:off x="9197787"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English</a:t>
          </a:r>
          <a:endParaRPr lang="en-IN" sz="1200">
            <a:effectLst/>
          </a:endParaRPr>
        </a:p>
        <a:p>
          <a:pPr algn="l"/>
          <a:endParaRPr lang="en-IN" sz="1200"/>
        </a:p>
      </xdr:txBody>
    </xdr:sp>
    <xdr:clientData/>
  </xdr:twoCellAnchor>
  <xdr:twoCellAnchor>
    <xdr:from>
      <xdr:col>12</xdr:col>
      <xdr:colOff>80683</xdr:colOff>
      <xdr:row>16</xdr:row>
      <xdr:rowOff>71717</xdr:rowOff>
    </xdr:from>
    <xdr:to>
      <xdr:col>16</xdr:col>
      <xdr:colOff>493059</xdr:colOff>
      <xdr:row>30</xdr:row>
      <xdr:rowOff>125505</xdr:rowOff>
    </xdr:to>
    <xdr:sp macro="" textlink="">
      <xdr:nvSpPr>
        <xdr:cNvPr id="13" name="Rectangle: Rounded Corners 12">
          <a:extLst>
            <a:ext uri="{FF2B5EF4-FFF2-40B4-BE49-F238E27FC236}">
              <a16:creationId xmlns:a16="http://schemas.microsoft.com/office/drawing/2014/main" id="{AB6526A7-9DD5-437D-8785-55E80C3FBEF8}"/>
            </a:ext>
          </a:extLst>
        </xdr:cNvPr>
        <xdr:cNvSpPr/>
      </xdr:nvSpPr>
      <xdr:spPr>
        <a:xfrm>
          <a:off x="7395883" y="2940423"/>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Student</a:t>
          </a:r>
          <a:r>
            <a:rPr lang="en-IN" sz="1400" baseline="0">
              <a:solidFill>
                <a:schemeClr val="lt1"/>
              </a:solidFill>
              <a:effectLst/>
              <a:latin typeface="+mn-lt"/>
              <a:ea typeface="+mn-ea"/>
              <a:cs typeface="+mn-cs"/>
            </a:rPr>
            <a:t> v/s Total Marks in Subjects</a:t>
          </a:r>
        </a:p>
        <a:p>
          <a:pPr algn="l"/>
          <a:endParaRPr lang="en-IN" sz="1400"/>
        </a:p>
      </xdr:txBody>
    </xdr:sp>
    <xdr:clientData/>
  </xdr:twoCellAnchor>
  <xdr:twoCellAnchor>
    <xdr:from>
      <xdr:col>7</xdr:col>
      <xdr:colOff>134471</xdr:colOff>
      <xdr:row>16</xdr:row>
      <xdr:rowOff>62753</xdr:rowOff>
    </xdr:from>
    <xdr:to>
      <xdr:col>11</xdr:col>
      <xdr:colOff>546847</xdr:colOff>
      <xdr:row>30</xdr:row>
      <xdr:rowOff>116541</xdr:rowOff>
    </xdr:to>
    <xdr:sp macro="" textlink="">
      <xdr:nvSpPr>
        <xdr:cNvPr id="14" name="Rectangle: Rounded Corners 13">
          <a:extLst>
            <a:ext uri="{FF2B5EF4-FFF2-40B4-BE49-F238E27FC236}">
              <a16:creationId xmlns:a16="http://schemas.microsoft.com/office/drawing/2014/main" id="{E5DC7BC3-A15E-497F-AAD9-0C039FD1706C}"/>
            </a:ext>
          </a:extLst>
        </xdr:cNvPr>
        <xdr:cNvSpPr/>
      </xdr:nvSpPr>
      <xdr:spPr>
        <a:xfrm>
          <a:off x="4401671" y="2931459"/>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Total Marks of</a:t>
          </a:r>
          <a:r>
            <a:rPr lang="en-IN" sz="1400" baseline="0">
              <a:solidFill>
                <a:schemeClr val="lt1"/>
              </a:solidFill>
              <a:effectLst/>
              <a:latin typeface="+mn-lt"/>
              <a:ea typeface="+mn-ea"/>
              <a:cs typeface="+mn-cs"/>
            </a:rPr>
            <a:t> Fail and Pass</a:t>
          </a:r>
          <a:endParaRPr lang="en-IN" sz="1400"/>
        </a:p>
      </xdr:txBody>
    </xdr:sp>
    <xdr:clientData/>
  </xdr:twoCellAnchor>
  <xdr:twoCellAnchor>
    <xdr:from>
      <xdr:col>2</xdr:col>
      <xdr:colOff>188259</xdr:colOff>
      <xdr:row>16</xdr:row>
      <xdr:rowOff>71717</xdr:rowOff>
    </xdr:from>
    <xdr:to>
      <xdr:col>6</xdr:col>
      <xdr:colOff>600635</xdr:colOff>
      <xdr:row>30</xdr:row>
      <xdr:rowOff>125505</xdr:rowOff>
    </xdr:to>
    <xdr:sp macro="" textlink="">
      <xdr:nvSpPr>
        <xdr:cNvPr id="15" name="Rectangle: Rounded Corners 14">
          <a:extLst>
            <a:ext uri="{FF2B5EF4-FFF2-40B4-BE49-F238E27FC236}">
              <a16:creationId xmlns:a16="http://schemas.microsoft.com/office/drawing/2014/main" id="{AC3556A7-8096-4FA6-99C2-E80EBA6737DE}"/>
            </a:ext>
          </a:extLst>
        </xdr:cNvPr>
        <xdr:cNvSpPr/>
      </xdr:nvSpPr>
      <xdr:spPr>
        <a:xfrm>
          <a:off x="1407459" y="2940423"/>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Student v/s Total and Percentage</a:t>
          </a:r>
        </a:p>
      </xdr:txBody>
    </xdr:sp>
    <xdr:clientData/>
  </xdr:twoCellAnchor>
  <xdr:twoCellAnchor>
    <xdr:from>
      <xdr:col>7</xdr:col>
      <xdr:colOff>341195</xdr:colOff>
      <xdr:row>13</xdr:row>
      <xdr:rowOff>22746</xdr:rowOff>
    </xdr:from>
    <xdr:to>
      <xdr:col>8</xdr:col>
      <xdr:colOff>602776</xdr:colOff>
      <xdr:row>14</xdr:row>
      <xdr:rowOff>136478</xdr:rowOff>
    </xdr:to>
    <xdr:sp macro="" textlink="'Day13'!A9">
      <xdr:nvSpPr>
        <xdr:cNvPr id="17" name="TextBox 16">
          <a:extLst>
            <a:ext uri="{FF2B5EF4-FFF2-40B4-BE49-F238E27FC236}">
              <a16:creationId xmlns:a16="http://schemas.microsoft.com/office/drawing/2014/main" id="{550A8C67-A698-67E5-BBCE-A67457AD3F48}"/>
            </a:ext>
          </a:extLst>
        </xdr:cNvPr>
        <xdr:cNvSpPr txBox="1"/>
      </xdr:nvSpPr>
      <xdr:spPr>
        <a:xfrm>
          <a:off x="4640240" y="2388358"/>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E6F660-CE3A-4A5C-9B70-BE85CC5ECF81}" type="TxLink">
            <a:rPr lang="en-US" sz="1400" b="1" i="0" u="none" strike="noStrike">
              <a:solidFill>
                <a:srgbClr val="000000"/>
              </a:solidFill>
              <a:latin typeface="Calibri"/>
              <a:ea typeface="Calibri"/>
              <a:cs typeface="Calibri"/>
            </a:rPr>
            <a:pPr algn="ctr"/>
            <a:t>417</a:t>
          </a:fld>
          <a:endParaRPr lang="en-IN" sz="1400" b="1"/>
        </a:p>
      </xdr:txBody>
    </xdr:sp>
    <xdr:clientData/>
  </xdr:twoCellAnchor>
  <xdr:twoCellAnchor>
    <xdr:from>
      <xdr:col>9</xdr:col>
      <xdr:colOff>274828</xdr:colOff>
      <xdr:row>13</xdr:row>
      <xdr:rowOff>23548</xdr:rowOff>
    </xdr:from>
    <xdr:to>
      <xdr:col>10</xdr:col>
      <xdr:colOff>536408</xdr:colOff>
      <xdr:row>14</xdr:row>
      <xdr:rowOff>137280</xdr:rowOff>
    </xdr:to>
    <xdr:sp macro="" textlink="'Day13'!B9">
      <xdr:nvSpPr>
        <xdr:cNvPr id="18" name="TextBox 17">
          <a:extLst>
            <a:ext uri="{FF2B5EF4-FFF2-40B4-BE49-F238E27FC236}">
              <a16:creationId xmlns:a16="http://schemas.microsoft.com/office/drawing/2014/main" id="{0C1B0A65-30E8-4CDB-A6A2-D0F1190A2155}"/>
            </a:ext>
          </a:extLst>
        </xdr:cNvPr>
        <xdr:cNvSpPr txBox="1"/>
      </xdr:nvSpPr>
      <xdr:spPr>
        <a:xfrm>
          <a:off x="5802171" y="238916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99CD5E-CCE7-425E-A976-5B0953EB8CA9}" type="TxLink">
            <a:rPr lang="en-US" sz="1400" b="1" i="0" u="none" strike="noStrike">
              <a:solidFill>
                <a:srgbClr val="000000"/>
              </a:solidFill>
              <a:latin typeface="Calibri"/>
              <a:ea typeface="Calibri"/>
              <a:cs typeface="Calibri"/>
            </a:rPr>
            <a:pPr algn="ctr"/>
            <a:t>357</a:t>
          </a:fld>
          <a:endParaRPr lang="en-IN" sz="1400" b="1"/>
        </a:p>
      </xdr:txBody>
    </xdr:sp>
    <xdr:clientData/>
  </xdr:twoCellAnchor>
  <xdr:twoCellAnchor>
    <xdr:from>
      <xdr:col>11</xdr:col>
      <xdr:colOff>252081</xdr:colOff>
      <xdr:row>13</xdr:row>
      <xdr:rowOff>57668</xdr:rowOff>
    </xdr:from>
    <xdr:to>
      <xdr:col>12</xdr:col>
      <xdr:colOff>513662</xdr:colOff>
      <xdr:row>14</xdr:row>
      <xdr:rowOff>171400</xdr:rowOff>
    </xdr:to>
    <xdr:sp macro="" textlink="'Day13'!E9">
      <xdr:nvSpPr>
        <xdr:cNvPr id="19" name="TextBox 18">
          <a:extLst>
            <a:ext uri="{FF2B5EF4-FFF2-40B4-BE49-F238E27FC236}">
              <a16:creationId xmlns:a16="http://schemas.microsoft.com/office/drawing/2014/main" id="{7EDFAFB5-11E4-EAD6-AAC3-F631606496AD}"/>
            </a:ext>
          </a:extLst>
        </xdr:cNvPr>
        <xdr:cNvSpPr txBox="1"/>
      </xdr:nvSpPr>
      <xdr:spPr>
        <a:xfrm>
          <a:off x="7007723" y="242328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DE8305-EBDF-4129-A233-7823047A6792}" type="TxLink">
            <a:rPr lang="en-US" sz="1400" b="1" i="0" u="none" strike="noStrike">
              <a:solidFill>
                <a:srgbClr val="000000"/>
              </a:solidFill>
              <a:latin typeface="Calibri"/>
              <a:ea typeface="Calibri"/>
              <a:cs typeface="Calibri"/>
            </a:rPr>
            <a:pPr algn="ctr"/>
            <a:t>418</a:t>
          </a:fld>
          <a:endParaRPr lang="en-IN" sz="1400" b="1"/>
        </a:p>
      </xdr:txBody>
    </xdr:sp>
    <xdr:clientData/>
  </xdr:twoCellAnchor>
  <xdr:twoCellAnchor>
    <xdr:from>
      <xdr:col>13</xdr:col>
      <xdr:colOff>217962</xdr:colOff>
      <xdr:row>13</xdr:row>
      <xdr:rowOff>23548</xdr:rowOff>
    </xdr:from>
    <xdr:to>
      <xdr:col>14</xdr:col>
      <xdr:colOff>479542</xdr:colOff>
      <xdr:row>14</xdr:row>
      <xdr:rowOff>137280</xdr:rowOff>
    </xdr:to>
    <xdr:sp macro="" textlink="'Day13'!D9">
      <xdr:nvSpPr>
        <xdr:cNvPr id="20" name="TextBox 19">
          <a:extLst>
            <a:ext uri="{FF2B5EF4-FFF2-40B4-BE49-F238E27FC236}">
              <a16:creationId xmlns:a16="http://schemas.microsoft.com/office/drawing/2014/main" id="{2D8B7883-BB50-71E5-3427-C8C80407CEBE}"/>
            </a:ext>
          </a:extLst>
        </xdr:cNvPr>
        <xdr:cNvSpPr txBox="1"/>
      </xdr:nvSpPr>
      <xdr:spPr>
        <a:xfrm>
          <a:off x="8201902" y="238916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21CE85-4107-4517-9A66-C76CB81CFC0F}" type="TxLink">
            <a:rPr lang="en-US" sz="1400" b="1" i="0" u="none" strike="noStrike">
              <a:solidFill>
                <a:srgbClr val="000000"/>
              </a:solidFill>
              <a:latin typeface="Calibri"/>
              <a:ea typeface="Calibri"/>
              <a:cs typeface="Calibri"/>
            </a:rPr>
            <a:pPr algn="ctr"/>
            <a:t>452</a:t>
          </a:fld>
          <a:endParaRPr lang="en-IN" sz="1400" b="1"/>
        </a:p>
      </xdr:txBody>
    </xdr:sp>
    <xdr:clientData/>
  </xdr:twoCellAnchor>
  <xdr:twoCellAnchor>
    <xdr:from>
      <xdr:col>15</xdr:col>
      <xdr:colOff>172469</xdr:colOff>
      <xdr:row>13</xdr:row>
      <xdr:rowOff>34921</xdr:rowOff>
    </xdr:from>
    <xdr:to>
      <xdr:col>16</xdr:col>
      <xdr:colOff>434050</xdr:colOff>
      <xdr:row>14</xdr:row>
      <xdr:rowOff>148653</xdr:rowOff>
    </xdr:to>
    <xdr:sp macro="" textlink="'Day13'!C9">
      <xdr:nvSpPr>
        <xdr:cNvPr id="21" name="TextBox 20">
          <a:extLst>
            <a:ext uri="{FF2B5EF4-FFF2-40B4-BE49-F238E27FC236}">
              <a16:creationId xmlns:a16="http://schemas.microsoft.com/office/drawing/2014/main" id="{04CBF2AE-7C0D-7FC9-DC84-32E037BEE32C}"/>
            </a:ext>
          </a:extLst>
        </xdr:cNvPr>
        <xdr:cNvSpPr txBox="1"/>
      </xdr:nvSpPr>
      <xdr:spPr>
        <a:xfrm>
          <a:off x="9384708" y="2400533"/>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D68DB9-C9D4-42A6-B1BF-6B1969C8C568}" type="TxLink">
            <a:rPr lang="en-US" sz="1400" b="1" i="0" u="none" strike="noStrike">
              <a:solidFill>
                <a:srgbClr val="000000"/>
              </a:solidFill>
              <a:latin typeface="Calibri"/>
              <a:ea typeface="Calibri"/>
              <a:cs typeface="Calibri"/>
            </a:rPr>
            <a:pPr algn="ctr"/>
            <a:t>343</a:t>
          </a:fld>
          <a:endParaRPr lang="en-IN" sz="1400" b="1"/>
        </a:p>
      </xdr:txBody>
    </xdr:sp>
    <xdr:clientData/>
  </xdr:twoCellAnchor>
  <xdr:twoCellAnchor>
    <xdr:from>
      <xdr:col>2</xdr:col>
      <xdr:colOff>380999</xdr:colOff>
      <xdr:row>19</xdr:row>
      <xdr:rowOff>83346</xdr:rowOff>
    </xdr:from>
    <xdr:to>
      <xdr:col>6</xdr:col>
      <xdr:colOff>381000</xdr:colOff>
      <xdr:row>29</xdr:row>
      <xdr:rowOff>95252</xdr:rowOff>
    </xdr:to>
    <xdr:graphicFrame macro="">
      <xdr:nvGraphicFramePr>
        <xdr:cNvPr id="22" name="Chart 21">
          <a:extLst>
            <a:ext uri="{FF2B5EF4-FFF2-40B4-BE49-F238E27FC236}">
              <a16:creationId xmlns:a16="http://schemas.microsoft.com/office/drawing/2014/main" id="{A170E69F-3097-4550-8BE1-15B62CB4A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392907</xdr:colOff>
      <xdr:row>19</xdr:row>
      <xdr:rowOff>71437</xdr:rowOff>
    </xdr:from>
    <xdr:to>
      <xdr:col>11</xdr:col>
      <xdr:colOff>309563</xdr:colOff>
      <xdr:row>29</xdr:row>
      <xdr:rowOff>95250</xdr:rowOff>
    </xdr:to>
    <xdr:graphicFrame macro="">
      <xdr:nvGraphicFramePr>
        <xdr:cNvPr id="23" name="Chart 22">
          <a:extLst>
            <a:ext uri="{FF2B5EF4-FFF2-40B4-BE49-F238E27FC236}">
              <a16:creationId xmlns:a16="http://schemas.microsoft.com/office/drawing/2014/main" id="{16D80859-40A5-42FF-8361-6F760C8F2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309563</xdr:colOff>
      <xdr:row>19</xdr:row>
      <xdr:rowOff>154781</xdr:rowOff>
    </xdr:from>
    <xdr:to>
      <xdr:col>16</xdr:col>
      <xdr:colOff>309563</xdr:colOff>
      <xdr:row>29</xdr:row>
      <xdr:rowOff>160833</xdr:rowOff>
    </xdr:to>
    <xdr:graphicFrame macro="">
      <xdr:nvGraphicFramePr>
        <xdr:cNvPr id="24" name="Chart 23">
          <a:extLst>
            <a:ext uri="{FF2B5EF4-FFF2-40B4-BE49-F238E27FC236}">
              <a16:creationId xmlns:a16="http://schemas.microsoft.com/office/drawing/2014/main" id="{F3523D8D-46D5-4C43-8A84-A2FC932CD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61633</xdr:colOff>
      <xdr:row>9</xdr:row>
      <xdr:rowOff>118641</xdr:rowOff>
    </xdr:from>
    <xdr:to>
      <xdr:col>22</xdr:col>
      <xdr:colOff>381000</xdr:colOff>
      <xdr:row>30</xdr:row>
      <xdr:rowOff>83344</xdr:rowOff>
    </xdr:to>
    <xdr:sp macro="" textlink="">
      <xdr:nvSpPr>
        <xdr:cNvPr id="25" name="Rectangle: Rounded Corners 24">
          <a:extLst>
            <a:ext uri="{FF2B5EF4-FFF2-40B4-BE49-F238E27FC236}">
              <a16:creationId xmlns:a16="http://schemas.microsoft.com/office/drawing/2014/main" id="{EC2A18C2-C9F9-4106-B7DE-D3E981E29AA9}"/>
            </a:ext>
          </a:extLst>
        </xdr:cNvPr>
        <xdr:cNvSpPr/>
      </xdr:nvSpPr>
      <xdr:spPr>
        <a:xfrm>
          <a:off x="10384352" y="1725985"/>
          <a:ext cx="3355461" cy="37389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Slicers</a:t>
          </a:r>
        </a:p>
        <a:p>
          <a:pPr algn="l"/>
          <a:endParaRPr lang="en-IN" sz="1400"/>
        </a:p>
      </xdr:txBody>
    </xdr:sp>
    <xdr:clientData/>
  </xdr:twoCellAnchor>
  <xdr:twoCellAnchor editAs="oneCell">
    <xdr:from>
      <xdr:col>17</xdr:col>
      <xdr:colOff>275946</xdr:colOff>
      <xdr:row>12</xdr:row>
      <xdr:rowOff>94830</xdr:rowOff>
    </xdr:from>
    <xdr:to>
      <xdr:col>19</xdr:col>
      <xdr:colOff>500063</xdr:colOff>
      <xdr:row>21</xdr:row>
      <xdr:rowOff>95250</xdr:rowOff>
    </xdr:to>
    <mc:AlternateContent xmlns:mc="http://schemas.openxmlformats.org/markup-compatibility/2006" xmlns:a14="http://schemas.microsoft.com/office/drawing/2010/main">
      <mc:Choice Requires="a14">
        <xdr:graphicFrame macro="">
          <xdr:nvGraphicFramePr>
            <xdr:cNvPr id="26" name="Student ID 1">
              <a:extLst>
                <a:ext uri="{FF2B5EF4-FFF2-40B4-BE49-F238E27FC236}">
                  <a16:creationId xmlns:a16="http://schemas.microsoft.com/office/drawing/2014/main" id="{CD4C55CE-A635-4198-98E0-1012C7048827}"/>
                </a:ext>
              </a:extLst>
            </xdr:cNvPr>
            <xdr:cNvGraphicFramePr/>
          </xdr:nvGraphicFramePr>
          <xdr:xfrm>
            <a:off x="0" y="0"/>
            <a:ext cx="0" cy="0"/>
          </xdr:xfrm>
          <a:graphic>
            <a:graphicData uri="http://schemas.microsoft.com/office/drawing/2010/slicer">
              <sle:slicer xmlns:sle="http://schemas.microsoft.com/office/drawing/2010/slicer" name="Student ID 1"/>
            </a:graphicData>
          </a:graphic>
        </xdr:graphicFrame>
      </mc:Choice>
      <mc:Fallback xmlns="">
        <xdr:sp macro="" textlink="">
          <xdr:nvSpPr>
            <xdr:cNvPr id="0" name=""/>
            <xdr:cNvSpPr>
              <a:spLocks noTextEdit="1"/>
            </xdr:cNvSpPr>
          </xdr:nvSpPr>
          <xdr:spPr>
            <a:xfrm>
              <a:off x="10598665" y="2237955"/>
              <a:ext cx="1438554" cy="1607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287852</xdr:colOff>
      <xdr:row>23</xdr:row>
      <xdr:rowOff>47205</xdr:rowOff>
    </xdr:from>
    <xdr:to>
      <xdr:col>21</xdr:col>
      <xdr:colOff>294996</xdr:colOff>
      <xdr:row>28</xdr:row>
      <xdr:rowOff>83343</xdr:rowOff>
    </xdr:to>
    <mc:AlternateContent xmlns:mc="http://schemas.openxmlformats.org/markup-compatibility/2006" xmlns:a14="http://schemas.microsoft.com/office/drawing/2010/main">
      <mc:Choice Requires="a14">
        <xdr:graphicFrame macro="">
          <xdr:nvGraphicFramePr>
            <xdr:cNvPr id="27" name="Is_Fail 1">
              <a:extLst>
                <a:ext uri="{FF2B5EF4-FFF2-40B4-BE49-F238E27FC236}">
                  <a16:creationId xmlns:a16="http://schemas.microsoft.com/office/drawing/2014/main" id="{1C57F6C9-BC7C-4555-B3A5-90DB2E890380}"/>
                </a:ext>
              </a:extLst>
            </xdr:cNvPr>
            <xdr:cNvGraphicFramePr/>
          </xdr:nvGraphicFramePr>
          <xdr:xfrm>
            <a:off x="0" y="0"/>
            <a:ext cx="0" cy="0"/>
          </xdr:xfrm>
          <a:graphic>
            <a:graphicData uri="http://schemas.microsoft.com/office/drawing/2010/slicer">
              <sle:slicer xmlns:sle="http://schemas.microsoft.com/office/drawing/2010/slicer" name="Is_Fail 1"/>
            </a:graphicData>
          </a:graphic>
        </xdr:graphicFrame>
      </mc:Choice>
      <mc:Fallback xmlns="">
        <xdr:sp macro="" textlink="">
          <xdr:nvSpPr>
            <xdr:cNvPr id="0" name=""/>
            <xdr:cNvSpPr>
              <a:spLocks noTextEdit="1"/>
            </xdr:cNvSpPr>
          </xdr:nvSpPr>
          <xdr:spPr>
            <a:xfrm>
              <a:off x="11217790" y="4154861"/>
              <a:ext cx="1828800" cy="952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585509</xdr:colOff>
      <xdr:row>12</xdr:row>
      <xdr:rowOff>130547</xdr:rowOff>
    </xdr:from>
    <xdr:to>
      <xdr:col>22</xdr:col>
      <xdr:colOff>190500</xdr:colOff>
      <xdr:row>21</xdr:row>
      <xdr:rowOff>107155</xdr:rowOff>
    </xdr:to>
    <mc:AlternateContent xmlns:mc="http://schemas.openxmlformats.org/markup-compatibility/2006" xmlns:a14="http://schemas.microsoft.com/office/drawing/2010/main">
      <mc:Choice Requires="a14">
        <xdr:graphicFrame macro="">
          <xdr:nvGraphicFramePr>
            <xdr:cNvPr id="28" name="Last Name 1">
              <a:extLst>
                <a:ext uri="{FF2B5EF4-FFF2-40B4-BE49-F238E27FC236}">
                  <a16:creationId xmlns:a16="http://schemas.microsoft.com/office/drawing/2014/main" id="{4B19D02E-88D7-4085-8F36-C9681C68E5C8}"/>
                </a:ext>
              </a:extLst>
            </xdr:cNvPr>
            <xdr:cNvGraphicFramePr/>
          </xdr:nvGraphicFramePr>
          <xdr:xfrm>
            <a:off x="0" y="0"/>
            <a:ext cx="0" cy="0"/>
          </xdr:xfrm>
          <a:graphic>
            <a:graphicData uri="http://schemas.microsoft.com/office/drawing/2010/slicer">
              <sle:slicer xmlns:sle="http://schemas.microsoft.com/office/drawing/2010/slicer" name="Last Name 1"/>
            </a:graphicData>
          </a:graphic>
        </xdr:graphicFrame>
      </mc:Choice>
      <mc:Fallback xmlns="">
        <xdr:sp macro="" textlink="">
          <xdr:nvSpPr>
            <xdr:cNvPr id="0" name=""/>
            <xdr:cNvSpPr>
              <a:spLocks noTextEdit="1"/>
            </xdr:cNvSpPr>
          </xdr:nvSpPr>
          <xdr:spPr>
            <a:xfrm>
              <a:off x="12122665" y="2273672"/>
              <a:ext cx="1426648" cy="1583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6.806194097226" createdVersion="8" refreshedVersion="8" minRefreshableVersion="3" recordCount="5" xr:uid="{17EFA018-210D-493E-BB0C-0D0FAF3689CC}">
  <cacheSource type="worksheet">
    <worksheetSource name="Table134"/>
  </cacheSource>
  <cacheFields count="13">
    <cacheField name="Student ID" numFmtId="0">
      <sharedItems containsSemiMixedTypes="0" containsString="0" containsNumber="1" containsInteger="1" minValue="1" maxValue="5" count="5">
        <n v="1"/>
        <n v="2"/>
        <n v="3"/>
        <n v="4"/>
        <n v="5"/>
      </sharedItems>
    </cacheField>
    <cacheField name="First Name" numFmtId="0">
      <sharedItems count="5">
        <s v="Sanskriti"/>
        <s v="Anu"/>
        <s v="Shubh"/>
        <s v="Alok"/>
        <s v="Riya"/>
      </sharedItems>
    </cacheField>
    <cacheField name="Last Name" numFmtId="0">
      <sharedItems count="3">
        <s v="Saxena"/>
        <s v="Singh"/>
        <s v="pal"/>
      </sharedItems>
    </cacheField>
    <cacheField name="Mathematics" numFmtId="0">
      <sharedItems containsSemiMixedTypes="0" containsString="0" containsNumber="1" containsInteger="1" minValue="74" maxValue="92"/>
    </cacheField>
    <cacheField name="Science" numFmtId="0">
      <sharedItems containsString="0" containsBlank="1" containsNumber="1" containsInteger="1" minValue="84" maxValue="93"/>
    </cacheField>
    <cacheField name="English" numFmtId="0">
      <sharedItems containsSemiMixedTypes="0" containsString="0" containsNumber="1" containsInteger="1" minValue="1" maxValue="90"/>
    </cacheField>
    <cacheField name="Computer" numFmtId="0">
      <sharedItems containsSemiMixedTypes="0" containsString="0" containsNumber="1" containsInteger="1" minValue="86" maxValue="95"/>
    </cacheField>
    <cacheField name="Social Science" numFmtId="0">
      <sharedItems containsSemiMixedTypes="0" containsString="0" containsNumber="1" containsInteger="1" minValue="76" maxValue="90"/>
    </cacheField>
    <cacheField name="Total" numFmtId="0">
      <sharedItems containsSemiMixedTypes="0" containsString="0" containsNumber="1" containsInteger="1" minValue="322" maxValue="450"/>
    </cacheField>
    <cacheField name="Average" numFmtId="0">
      <sharedItems containsSemiMixedTypes="0" containsString="0" containsNumber="1" minValue="64.400000000000006" maxValue="90"/>
    </cacheField>
    <cacheField name="Percentage" numFmtId="0">
      <sharedItems containsSemiMixedTypes="0" containsString="0" containsNumber="1" minValue="64.400000000000006" maxValue="90"/>
    </cacheField>
    <cacheField name="Is_Fail" numFmtId="0">
      <sharedItems count="2">
        <s v="Pass"/>
        <s v="Fail"/>
      </sharedItems>
    </cacheField>
    <cacheField name="Marks Given in No of Sub" numFmtId="0">
      <sharedItems containsSemiMixedTypes="0" containsString="0" containsNumber="1" containsInteger="1" minValue="4" maxValue="5"/>
    </cacheField>
  </cacheFields>
  <extLst>
    <ext xmlns:x14="http://schemas.microsoft.com/office/spreadsheetml/2009/9/main" uri="{725AE2AE-9491-48be-B2B4-4EB974FC3084}">
      <x14:pivotCacheDefinition pivotCacheId="328102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n v="85"/>
    <n v="91"/>
    <n v="88"/>
    <n v="95"/>
    <n v="82"/>
    <n v="441"/>
    <n v="88.2"/>
    <n v="88.2"/>
    <x v="0"/>
    <n v="5"/>
  </r>
  <r>
    <x v="1"/>
    <x v="1"/>
    <x v="0"/>
    <n v="78"/>
    <n v="84"/>
    <n v="90"/>
    <n v="88"/>
    <n v="76"/>
    <n v="416"/>
    <n v="83.2"/>
    <n v="83.2"/>
    <x v="0"/>
    <n v="5"/>
  </r>
  <r>
    <x v="2"/>
    <x v="2"/>
    <x v="0"/>
    <n v="92"/>
    <n v="89"/>
    <n v="85"/>
    <n v="94"/>
    <n v="90"/>
    <n v="450"/>
    <n v="90"/>
    <n v="90"/>
    <x v="0"/>
    <n v="5"/>
  </r>
  <r>
    <x v="3"/>
    <x v="3"/>
    <x v="1"/>
    <n v="74"/>
    <m/>
    <n v="79"/>
    <n v="86"/>
    <n v="83"/>
    <n v="322"/>
    <n v="64.400000000000006"/>
    <n v="64.400000000000006"/>
    <x v="0"/>
    <n v="4"/>
  </r>
  <r>
    <x v="4"/>
    <x v="4"/>
    <x v="2"/>
    <n v="88"/>
    <n v="93"/>
    <n v="1"/>
    <n v="89"/>
    <n v="87"/>
    <n v="358"/>
    <n v="71.599999999999994"/>
    <n v="71.599999999999994"/>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CD430E-CDEA-4E94-9AF1-CED47AB75A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S_Fail">
  <location ref="I6:N9" firstHeaderRow="0" firstDataRow="1" firstDataCol="1"/>
  <pivotFields count="13">
    <pivotField showAll="0">
      <items count="6">
        <item x="0"/>
        <item x="1"/>
        <item x="2"/>
        <item x="3"/>
        <item x="4"/>
        <item t="default"/>
      </items>
    </pivotField>
    <pivotField showAll="0"/>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axis="axisRow" showAll="0">
      <items count="3">
        <item x="1"/>
        <item x="0"/>
        <item t="default"/>
      </items>
    </pivotField>
    <pivotField showAll="0"/>
  </pivotFields>
  <rowFields count="1">
    <field x="11"/>
  </rowFields>
  <rowItems count="3">
    <i>
      <x/>
    </i>
    <i>
      <x v="1"/>
    </i>
    <i t="grand">
      <x/>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1" count="1" selected="0">
            <x v="0"/>
          </reference>
        </references>
      </pivotArea>
    </chartFormat>
    <chartFormat chart="3" format="22">
      <pivotArea type="data" outline="0" fieldPosition="0">
        <references count="2">
          <reference field="4294967294" count="1" selected="0">
            <x v="0"/>
          </reference>
          <reference field="11"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1" count="1" selected="0">
            <x v="0"/>
          </reference>
        </references>
      </pivotArea>
    </chartFormat>
    <chartFormat chart="3" format="25">
      <pivotArea type="data" outline="0" fieldPosition="0">
        <references count="2">
          <reference field="4294967294" count="1" selected="0">
            <x v="1"/>
          </reference>
          <reference field="11"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pivotArea type="data" outline="0" fieldPosition="0">
        <references count="2">
          <reference field="4294967294" count="1" selected="0">
            <x v="2"/>
          </reference>
          <reference field="11" count="1" selected="0">
            <x v="0"/>
          </reference>
        </references>
      </pivotArea>
    </chartFormat>
    <chartFormat chart="3" format="28">
      <pivotArea type="data" outline="0" fieldPosition="0">
        <references count="2">
          <reference field="4294967294" count="1" selected="0">
            <x v="2"/>
          </reference>
          <reference field="11" count="1" selected="0">
            <x v="1"/>
          </reference>
        </references>
      </pivotArea>
    </chartFormat>
    <chartFormat chart="3" format="29" series="1">
      <pivotArea type="data" outline="0" fieldPosition="0">
        <references count="1">
          <reference field="4294967294" count="1" selected="0">
            <x v="3"/>
          </reference>
        </references>
      </pivotArea>
    </chartFormat>
    <chartFormat chart="3" format="30">
      <pivotArea type="data" outline="0" fieldPosition="0">
        <references count="2">
          <reference field="4294967294" count="1" selected="0">
            <x v="3"/>
          </reference>
          <reference field="11" count="1" selected="0">
            <x v="0"/>
          </reference>
        </references>
      </pivotArea>
    </chartFormat>
    <chartFormat chart="3" format="31">
      <pivotArea type="data" outline="0" fieldPosition="0">
        <references count="2">
          <reference field="4294967294" count="1" selected="0">
            <x v="3"/>
          </reference>
          <reference field="11" count="1" selected="0">
            <x v="1"/>
          </reference>
        </references>
      </pivotArea>
    </chartFormat>
    <chartFormat chart="3" format="32" series="1">
      <pivotArea type="data" outline="0" fieldPosition="0">
        <references count="1">
          <reference field="4294967294" count="1" selected="0">
            <x v="4"/>
          </reference>
        </references>
      </pivotArea>
    </chartFormat>
    <chartFormat chart="3" format="33">
      <pivotArea type="data" outline="0" fieldPosition="0">
        <references count="2">
          <reference field="4294967294" count="1" selected="0">
            <x v="4"/>
          </reference>
          <reference field="11" count="1" selected="0">
            <x v="0"/>
          </reference>
        </references>
      </pivotArea>
    </chartFormat>
    <chartFormat chart="3" format="34">
      <pivotArea type="data" outline="0" fieldPosition="0">
        <references count="2">
          <reference field="4294967294" count="1" selected="0">
            <x v="4"/>
          </reference>
          <reference field="11" count="1" selected="0">
            <x v="1"/>
          </reference>
        </references>
      </pivotArea>
    </chartFormat>
    <chartFormat chart="0" format="5">
      <pivotArea type="data" outline="0" fieldPosition="0">
        <references count="2">
          <reference field="4294967294" count="1" selected="0">
            <x v="0"/>
          </reference>
          <reference field="11" count="1" selected="0">
            <x v="0"/>
          </reference>
        </references>
      </pivotArea>
    </chartFormat>
    <chartFormat chart="0" format="6">
      <pivotArea type="data" outline="0" fieldPosition="0">
        <references count="2">
          <reference field="4294967294" count="1" selected="0">
            <x v="0"/>
          </reference>
          <reference field="11" count="1" selected="0">
            <x v="1"/>
          </reference>
        </references>
      </pivotArea>
    </chartFormat>
    <chartFormat chart="0" format="7">
      <pivotArea type="data" outline="0" fieldPosition="0">
        <references count="2">
          <reference field="4294967294" count="1" selected="0">
            <x v="1"/>
          </reference>
          <reference field="11" count="1" selected="0">
            <x v="0"/>
          </reference>
        </references>
      </pivotArea>
    </chartFormat>
    <chartFormat chart="0" format="8">
      <pivotArea type="data" outline="0" fieldPosition="0">
        <references count="2">
          <reference field="4294967294" count="1" selected="0">
            <x v="1"/>
          </reference>
          <reference field="11" count="1" selected="0">
            <x v="1"/>
          </reference>
        </references>
      </pivotArea>
    </chartFormat>
    <chartFormat chart="0" format="9">
      <pivotArea type="data" outline="0" fieldPosition="0">
        <references count="2">
          <reference field="4294967294" count="1" selected="0">
            <x v="2"/>
          </reference>
          <reference field="11" count="1" selected="0">
            <x v="0"/>
          </reference>
        </references>
      </pivotArea>
    </chartFormat>
    <chartFormat chart="0" format="10">
      <pivotArea type="data" outline="0" fieldPosition="0">
        <references count="2">
          <reference field="4294967294" count="1" selected="0">
            <x v="2"/>
          </reference>
          <reference field="11" count="1" selected="0">
            <x v="1"/>
          </reference>
        </references>
      </pivotArea>
    </chartFormat>
    <chartFormat chart="0" format="11">
      <pivotArea type="data" outline="0" fieldPosition="0">
        <references count="2">
          <reference field="4294967294" count="1" selected="0">
            <x v="3"/>
          </reference>
          <reference field="11" count="1" selected="0">
            <x v="0"/>
          </reference>
        </references>
      </pivotArea>
    </chartFormat>
    <chartFormat chart="0" format="12">
      <pivotArea type="data" outline="0" fieldPosition="0">
        <references count="2">
          <reference field="4294967294" count="1" selected="0">
            <x v="3"/>
          </reference>
          <reference field="11" count="1" selected="0">
            <x v="1"/>
          </reference>
        </references>
      </pivotArea>
    </chartFormat>
    <chartFormat chart="0" format="13">
      <pivotArea type="data" outline="0" fieldPosition="0">
        <references count="2">
          <reference field="4294967294" count="1" selected="0">
            <x v="4"/>
          </reference>
          <reference field="11" count="1" selected="0">
            <x v="0"/>
          </reference>
        </references>
      </pivotArea>
    </chartFormat>
    <chartFormat chart="0" format="14">
      <pivotArea type="data" outline="0" fieldPosition="0">
        <references count="2">
          <reference field="4294967294" count="1" selected="0">
            <x v="4"/>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11767-B630-4DDB-BAD9-EC853A549B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Name">
  <location ref="A22:F28" firstHeaderRow="0" firstDataRow="1" firstDataCol="1"/>
  <pivotFields count="13">
    <pivotField showAll="0">
      <items count="6">
        <item x="0"/>
        <item x="1"/>
        <item x="2"/>
        <item x="3"/>
        <item x="4"/>
        <item t="default"/>
      </items>
    </pivotField>
    <pivotField axis="axisRow" showAll="0">
      <items count="6">
        <item x="3"/>
        <item x="1"/>
        <item x="4"/>
        <item x="0"/>
        <item x="2"/>
        <item t="default"/>
      </items>
    </pivotField>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showAll="0">
      <items count="3">
        <item x="1"/>
        <item x="0"/>
        <item t="default"/>
      </items>
    </pivotField>
    <pivotField showAll="0"/>
  </pivotFields>
  <rowFields count="1">
    <field x="1"/>
  </rowFields>
  <rowItems count="6">
    <i>
      <x/>
    </i>
    <i>
      <x v="1"/>
    </i>
    <i>
      <x v="2"/>
    </i>
    <i>
      <x v="3"/>
    </i>
    <i>
      <x v="4"/>
    </i>
    <i t="grand">
      <x/>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2"/>
          </reference>
        </references>
      </pivotArea>
    </chartFormat>
    <chartFormat chart="9" format="13" series="1">
      <pivotArea type="data" outline="0" fieldPosition="0">
        <references count="1">
          <reference field="4294967294" count="1" selected="0">
            <x v="3"/>
          </reference>
        </references>
      </pivotArea>
    </chartFormat>
    <chartFormat chart="9"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4F066-B316-4C10-A8CE-4B9E15D155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Name">
  <location ref="A12:C18" firstHeaderRow="0" firstDataRow="1" firstDataCol="1"/>
  <pivotFields count="13">
    <pivotField showAll="0">
      <items count="6">
        <item x="0"/>
        <item x="1"/>
        <item x="2"/>
        <item x="3"/>
        <item x="4"/>
        <item t="default"/>
      </items>
    </pivotField>
    <pivotField axis="axisRow" showAll="0">
      <items count="6">
        <item x="3"/>
        <item x="1"/>
        <item x="4"/>
        <item x="0"/>
        <item x="2"/>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items count="3">
        <item x="1"/>
        <item x="0"/>
        <item t="default"/>
      </items>
    </pivotField>
    <pivotField showAll="0"/>
  </pivotFields>
  <rowFields count="1">
    <field x="1"/>
  </rowFields>
  <rowItems count="6">
    <i>
      <x/>
    </i>
    <i>
      <x v="1"/>
    </i>
    <i>
      <x v="2"/>
    </i>
    <i>
      <x v="3"/>
    </i>
    <i>
      <x v="4"/>
    </i>
    <i t="grand">
      <x/>
    </i>
  </rowItems>
  <colFields count="1">
    <field x="-2"/>
  </colFields>
  <colItems count="2">
    <i>
      <x/>
    </i>
    <i i="1">
      <x v="1"/>
    </i>
  </colItems>
  <dataFields count="2">
    <dataField name="Sum of Total" fld="8" baseField="0" baseItem="0"/>
    <dataField name="Sum of Percentage"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3440E-AF61-4905-B0B2-9F4D0AF6DC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7" firstHeaderRow="0" firstDataRow="1" firstDataCol="0"/>
  <pivotFields count="13">
    <pivotField showAll="0">
      <items count="6">
        <item x="0"/>
        <item x="1"/>
        <item x="2"/>
        <item x="3"/>
        <item x="4"/>
        <item t="default"/>
      </items>
    </pivotField>
    <pivotField showAll="0"/>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showAll="0">
      <items count="3">
        <item x="1"/>
        <item x="0"/>
        <item t="default"/>
      </items>
    </pivotField>
    <pivotField showAll="0"/>
  </pivotFields>
  <rowItems count="1">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F649E4C9-A323-4ACA-838F-7523905EB039}" sourceName="Student ID">
  <pivotTables>
    <pivotTable tabId="13" name="PivotTable2"/>
    <pivotTable tabId="13" name="PivotTable1"/>
    <pivotTable tabId="13" name="PivotTable3"/>
    <pivotTable tabId="13" name="PivotTable4"/>
  </pivotTables>
  <data>
    <tabular pivotCacheId="32810284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Name" xr10:uid="{CC9375E2-568A-4920-A550-D4CB0E51BF12}" sourceName="Last Name">
  <pivotTables>
    <pivotTable tabId="13" name="PivotTable2"/>
    <pivotTable tabId="13" name="PivotTable1"/>
    <pivotTable tabId="13" name="PivotTable3"/>
    <pivotTable tabId="13" name="PivotTable4"/>
  </pivotTables>
  <data>
    <tabular pivotCacheId="32810284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ail" xr10:uid="{7A938EC7-641C-47EB-A8C5-91338DD29D9C}" sourceName="Is_Fail">
  <pivotTables>
    <pivotTable tabId="13" name="PivotTable2"/>
    <pivotTable tabId="13" name="PivotTable1"/>
    <pivotTable tabId="13" name="PivotTable3"/>
    <pivotTable tabId="13" name="PivotTable4"/>
  </pivotTables>
  <data>
    <tabular pivotCacheId="3281028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ID" xr10:uid="{154ACE74-CFD3-4846-AC4E-6638E8ADF4E2}" cache="Slicer_Student_ID" caption="Student ID" rowHeight="234950"/>
  <slicer name="Last Name" xr10:uid="{F4B4B0E3-FFEB-4006-B66D-7A3791938868}" cache="Slicer_Last_Name" caption="Last Name" rowHeight="234950"/>
  <slicer name="Is_Fail" xr10:uid="{EEE9D078-83DD-4FB2-8984-00E1845C3935}" cache="Slicer_Is_Fail" caption="Is_Fai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ID 1" xr10:uid="{6B118D8C-335C-4E21-BD0D-C349B513ED73}" cache="Slicer_Student_ID" caption="Student ID" columnCount="2" rowHeight="234950"/>
  <slicer name="Last Name 1" xr10:uid="{433647F7-1479-433C-BFDF-F782E3EA67B5}" cache="Slicer_Last_Name" caption="Last Name" rowHeight="234950"/>
  <slicer name="Is_Fail 1" xr10:uid="{0BF9BFBC-3708-4731-907C-C250BD426F6E}" cache="Slicer_Is_Fail" caption="Is_Fai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5A5E-213B-4B9C-BB0C-AFA6CED96AFB}">
  <dimension ref="A1:N28"/>
  <sheetViews>
    <sheetView zoomScale="85" workbookViewId="0">
      <selection activeCell="H14" sqref="H14"/>
    </sheetView>
  </sheetViews>
  <sheetFormatPr defaultRowHeight="14.4" x14ac:dyDescent="0.3"/>
  <cols>
    <col min="1" max="1" width="11.44140625" bestFit="1" customWidth="1"/>
    <col min="2" max="2" width="19.5546875" bestFit="1" customWidth="1"/>
    <col min="3" max="3" width="14.44140625" bestFit="1" customWidth="1"/>
    <col min="4" max="4" width="14.109375" bestFit="1" customWidth="1"/>
    <col min="5" max="5" width="16.6640625" bestFit="1" customWidth="1"/>
    <col min="6" max="6" width="20.33203125" bestFit="1" customWidth="1"/>
    <col min="9" max="9" width="11.44140625" bestFit="1" customWidth="1"/>
    <col min="10" max="10" width="19.5546875" bestFit="1" customWidth="1"/>
    <col min="11" max="11" width="14.44140625" bestFit="1" customWidth="1"/>
    <col min="12" max="12" width="14.109375" bestFit="1" customWidth="1"/>
    <col min="13" max="13" width="16.6640625" bestFit="1" customWidth="1"/>
    <col min="14" max="14" width="20.33203125" bestFit="1" customWidth="1"/>
  </cols>
  <sheetData>
    <row r="1" spans="1:14" x14ac:dyDescent="0.3">
      <c r="A1" s="1"/>
      <c r="B1" s="1"/>
      <c r="C1" s="1"/>
      <c r="D1" s="1"/>
      <c r="E1" s="1"/>
      <c r="F1" s="2"/>
      <c r="G1" s="1" t="s">
        <v>15</v>
      </c>
      <c r="H1" s="1"/>
      <c r="I1" s="1"/>
      <c r="J1" s="1"/>
      <c r="K1" s="1"/>
      <c r="L1" s="1"/>
      <c r="M1" s="1"/>
      <c r="N1" s="1"/>
    </row>
    <row r="2" spans="1:14" x14ac:dyDescent="0.3">
      <c r="A2" s="8" t="s">
        <v>19</v>
      </c>
      <c r="B2" s="8"/>
      <c r="C2" s="8"/>
      <c r="D2" s="8"/>
      <c r="E2" s="8"/>
      <c r="F2" s="8"/>
      <c r="G2" s="8"/>
      <c r="H2" s="8"/>
      <c r="I2" s="8"/>
      <c r="J2" s="8"/>
      <c r="K2" s="8"/>
      <c r="L2" s="8"/>
      <c r="M2" s="8"/>
      <c r="N2" s="8"/>
    </row>
    <row r="6" spans="1:14" x14ac:dyDescent="0.3">
      <c r="A6" t="s">
        <v>5</v>
      </c>
      <c r="B6" t="s">
        <v>6</v>
      </c>
      <c r="C6" t="s">
        <v>7</v>
      </c>
      <c r="D6" t="s">
        <v>8</v>
      </c>
      <c r="E6" t="s">
        <v>9</v>
      </c>
      <c r="I6" s="4" t="s">
        <v>17</v>
      </c>
      <c r="J6" t="s">
        <v>5</v>
      </c>
      <c r="K6" t="s">
        <v>6</v>
      </c>
      <c r="L6" t="s">
        <v>7</v>
      </c>
      <c r="M6" t="s">
        <v>8</v>
      </c>
      <c r="N6" t="s">
        <v>9</v>
      </c>
    </row>
    <row r="7" spans="1:14" x14ac:dyDescent="0.3">
      <c r="A7" s="10">
        <v>417</v>
      </c>
      <c r="B7" s="10">
        <v>357</v>
      </c>
      <c r="C7" s="10">
        <v>343</v>
      </c>
      <c r="D7" s="10">
        <v>452</v>
      </c>
      <c r="E7" s="10">
        <v>418</v>
      </c>
      <c r="I7" s="5" t="s">
        <v>10</v>
      </c>
      <c r="J7" s="10">
        <v>88</v>
      </c>
      <c r="K7" s="10">
        <v>93</v>
      </c>
      <c r="L7" s="10">
        <v>1</v>
      </c>
      <c r="M7" s="10">
        <v>89</v>
      </c>
      <c r="N7" s="10">
        <v>87</v>
      </c>
    </row>
    <row r="8" spans="1:14" x14ac:dyDescent="0.3">
      <c r="I8" s="5" t="s">
        <v>11</v>
      </c>
      <c r="J8" s="10">
        <v>329</v>
      </c>
      <c r="K8" s="10">
        <v>264</v>
      </c>
      <c r="L8" s="10">
        <v>342</v>
      </c>
      <c r="M8" s="10">
        <v>363</v>
      </c>
      <c r="N8" s="10">
        <v>331</v>
      </c>
    </row>
    <row r="9" spans="1:14" x14ac:dyDescent="0.3">
      <c r="A9">
        <f>GETPIVOTDATA("Sum of Mathematics",$A$6)</f>
        <v>417</v>
      </c>
      <c r="B9">
        <f>GETPIVOTDATA("Sum of Science",$A$6)</f>
        <v>357</v>
      </c>
      <c r="C9">
        <f>GETPIVOTDATA("Sum of English",$A$6)</f>
        <v>343</v>
      </c>
      <c r="D9">
        <f>GETPIVOTDATA("Sum of Computer",$A$6)</f>
        <v>452</v>
      </c>
      <c r="E9">
        <f>GETPIVOTDATA("Sum of Social Science",$A$6)</f>
        <v>418</v>
      </c>
      <c r="I9" s="5" t="s">
        <v>12</v>
      </c>
      <c r="J9" s="10">
        <v>417</v>
      </c>
      <c r="K9" s="10">
        <v>357</v>
      </c>
      <c r="L9" s="10">
        <v>343</v>
      </c>
      <c r="M9" s="10">
        <v>452</v>
      </c>
      <c r="N9" s="10">
        <v>418</v>
      </c>
    </row>
    <row r="12" spans="1:14" x14ac:dyDescent="0.3">
      <c r="A12" s="4" t="s">
        <v>16</v>
      </c>
      <c r="B12" t="s">
        <v>13</v>
      </c>
      <c r="C12" t="s">
        <v>14</v>
      </c>
    </row>
    <row r="13" spans="1:14" x14ac:dyDescent="0.3">
      <c r="A13" s="5" t="s">
        <v>3</v>
      </c>
      <c r="B13" s="10">
        <v>322</v>
      </c>
      <c r="C13" s="10">
        <v>64.400000000000006</v>
      </c>
    </row>
    <row r="14" spans="1:14" x14ac:dyDescent="0.3">
      <c r="A14" s="5" t="s">
        <v>1</v>
      </c>
      <c r="B14" s="10">
        <v>416</v>
      </c>
      <c r="C14" s="10">
        <v>83.2</v>
      </c>
    </row>
    <row r="15" spans="1:14" x14ac:dyDescent="0.3">
      <c r="A15" s="5" t="s">
        <v>4</v>
      </c>
      <c r="B15" s="10">
        <v>358</v>
      </c>
      <c r="C15" s="10">
        <v>71.599999999999994</v>
      </c>
    </row>
    <row r="16" spans="1:14" x14ac:dyDescent="0.3">
      <c r="A16" s="5" t="s">
        <v>0</v>
      </c>
      <c r="B16" s="10">
        <v>441</v>
      </c>
      <c r="C16" s="10">
        <v>88.2</v>
      </c>
    </row>
    <row r="17" spans="1:6" x14ac:dyDescent="0.3">
      <c r="A17" s="5" t="s">
        <v>2</v>
      </c>
      <c r="B17" s="10">
        <v>450</v>
      </c>
      <c r="C17" s="10">
        <v>90</v>
      </c>
    </row>
    <row r="18" spans="1:6" x14ac:dyDescent="0.3">
      <c r="A18" s="5" t="s">
        <v>12</v>
      </c>
      <c r="B18" s="10">
        <v>1987</v>
      </c>
      <c r="C18" s="10">
        <v>397.40000000000003</v>
      </c>
    </row>
    <row r="22" spans="1:6" x14ac:dyDescent="0.3">
      <c r="A22" s="4" t="s">
        <v>16</v>
      </c>
      <c r="B22" t="s">
        <v>5</v>
      </c>
      <c r="C22" t="s">
        <v>6</v>
      </c>
      <c r="D22" t="s">
        <v>7</v>
      </c>
      <c r="E22" t="s">
        <v>8</v>
      </c>
      <c r="F22" t="s">
        <v>9</v>
      </c>
    </row>
    <row r="23" spans="1:6" x14ac:dyDescent="0.3">
      <c r="A23" s="5" t="s">
        <v>3</v>
      </c>
      <c r="B23" s="10">
        <v>74</v>
      </c>
      <c r="C23" s="10"/>
      <c r="D23" s="10">
        <v>79</v>
      </c>
      <c r="E23" s="10">
        <v>86</v>
      </c>
      <c r="F23" s="10">
        <v>83</v>
      </c>
    </row>
    <row r="24" spans="1:6" x14ac:dyDescent="0.3">
      <c r="A24" s="5" t="s">
        <v>1</v>
      </c>
      <c r="B24" s="10">
        <v>78</v>
      </c>
      <c r="C24" s="10">
        <v>84</v>
      </c>
      <c r="D24" s="10">
        <v>90</v>
      </c>
      <c r="E24" s="10">
        <v>88</v>
      </c>
      <c r="F24" s="10">
        <v>76</v>
      </c>
    </row>
    <row r="25" spans="1:6" x14ac:dyDescent="0.3">
      <c r="A25" s="5" t="s">
        <v>4</v>
      </c>
      <c r="B25" s="10">
        <v>88</v>
      </c>
      <c r="C25" s="10">
        <v>93</v>
      </c>
      <c r="D25" s="10">
        <v>1</v>
      </c>
      <c r="E25" s="10">
        <v>89</v>
      </c>
      <c r="F25" s="10">
        <v>87</v>
      </c>
    </row>
    <row r="26" spans="1:6" x14ac:dyDescent="0.3">
      <c r="A26" s="5" t="s">
        <v>0</v>
      </c>
      <c r="B26" s="10">
        <v>85</v>
      </c>
      <c r="C26" s="10">
        <v>91</v>
      </c>
      <c r="D26" s="10">
        <v>88</v>
      </c>
      <c r="E26" s="10">
        <v>95</v>
      </c>
      <c r="F26" s="10">
        <v>82</v>
      </c>
    </row>
    <row r="27" spans="1:6" x14ac:dyDescent="0.3">
      <c r="A27" s="5" t="s">
        <v>2</v>
      </c>
      <c r="B27" s="10">
        <v>92</v>
      </c>
      <c r="C27" s="10">
        <v>89</v>
      </c>
      <c r="D27" s="10">
        <v>85</v>
      </c>
      <c r="E27" s="10">
        <v>94</v>
      </c>
      <c r="F27" s="10">
        <v>90</v>
      </c>
    </row>
    <row r="28" spans="1:6" x14ac:dyDescent="0.3">
      <c r="A28" s="5" t="s">
        <v>12</v>
      </c>
      <c r="B28" s="10">
        <v>417</v>
      </c>
      <c r="C28" s="10">
        <v>357</v>
      </c>
      <c r="D28" s="10">
        <v>343</v>
      </c>
      <c r="E28" s="10">
        <v>452</v>
      </c>
      <c r="F28" s="10">
        <v>418</v>
      </c>
    </row>
  </sheetData>
  <mergeCells count="1">
    <mergeCell ref="A2:N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CDBE-2E08-4A83-B8ED-1DF33D8E2EF9}">
  <dimension ref="A1:Y37"/>
  <sheetViews>
    <sheetView tabSelected="1" zoomScale="64" workbookViewId="0">
      <selection activeCell="AB16" sqref="AB16"/>
    </sheetView>
  </sheetViews>
  <sheetFormatPr defaultRowHeight="14.4" x14ac:dyDescent="0.3"/>
  <sheetData>
    <row r="1" spans="1:25" x14ac:dyDescent="0.3">
      <c r="A1" s="9" t="s">
        <v>20</v>
      </c>
      <c r="B1" s="9"/>
      <c r="C1" s="9"/>
      <c r="D1" s="9"/>
      <c r="E1" s="9"/>
      <c r="F1" s="9"/>
      <c r="G1" s="9"/>
      <c r="H1" s="9"/>
      <c r="I1" s="9"/>
      <c r="J1" s="9"/>
      <c r="K1" s="9"/>
      <c r="L1" s="9"/>
      <c r="M1" s="9"/>
      <c r="N1" s="9"/>
      <c r="O1" s="9"/>
      <c r="P1" s="9"/>
      <c r="Q1" s="9"/>
      <c r="R1" s="9"/>
      <c r="S1" s="9"/>
      <c r="T1" s="9"/>
      <c r="U1" s="9"/>
      <c r="V1" s="9"/>
      <c r="W1" s="9"/>
      <c r="X1" s="9"/>
      <c r="Y1" s="9"/>
    </row>
    <row r="2" spans="1:25" x14ac:dyDescent="0.3">
      <c r="A2" s="8" t="s">
        <v>18</v>
      </c>
      <c r="B2" s="8"/>
      <c r="C2" s="8"/>
      <c r="D2" s="8"/>
      <c r="E2" s="8"/>
      <c r="F2" s="8"/>
      <c r="G2" s="8"/>
      <c r="H2" s="8"/>
      <c r="I2" s="8"/>
      <c r="J2" s="8"/>
      <c r="K2" s="8"/>
      <c r="L2" s="8"/>
      <c r="M2" s="8"/>
      <c r="N2" s="8"/>
      <c r="O2" s="8"/>
      <c r="P2" s="8"/>
      <c r="Q2" s="8"/>
      <c r="R2" s="8"/>
      <c r="S2" s="8"/>
      <c r="T2" s="8"/>
      <c r="U2" s="8"/>
      <c r="V2" s="8"/>
      <c r="W2" s="8"/>
      <c r="X2" s="8"/>
      <c r="Y2" s="8"/>
    </row>
    <row r="4" spans="1:25" x14ac:dyDescent="0.3">
      <c r="A4" s="6"/>
      <c r="B4" s="6"/>
      <c r="C4" s="6"/>
      <c r="D4" s="6"/>
      <c r="E4" s="6"/>
      <c r="F4" s="6"/>
      <c r="G4" s="6"/>
      <c r="H4" s="6"/>
      <c r="I4" s="6"/>
      <c r="J4" s="6"/>
      <c r="K4" s="6"/>
      <c r="L4" s="6"/>
      <c r="M4" s="6"/>
      <c r="N4" s="6"/>
      <c r="O4" s="6"/>
      <c r="P4" s="6"/>
      <c r="Q4" s="6"/>
      <c r="R4" s="6"/>
      <c r="S4" s="6"/>
      <c r="T4" s="6"/>
      <c r="U4" s="6"/>
      <c r="V4" s="6"/>
      <c r="W4" s="6"/>
      <c r="X4" s="6"/>
      <c r="Y4" s="6"/>
    </row>
    <row r="5" spans="1:25" x14ac:dyDescent="0.3">
      <c r="A5" s="6"/>
      <c r="B5" s="6"/>
      <c r="C5" s="6"/>
      <c r="D5" s="6"/>
      <c r="E5" s="6"/>
      <c r="F5" s="6"/>
      <c r="G5" s="6"/>
      <c r="H5" s="6"/>
      <c r="I5" s="6"/>
      <c r="J5" s="6"/>
      <c r="K5" s="6"/>
      <c r="L5" s="6"/>
      <c r="M5" s="6"/>
      <c r="N5" s="6"/>
      <c r="O5" s="6"/>
      <c r="P5" s="6"/>
      <c r="Q5" s="6"/>
      <c r="R5" s="6"/>
      <c r="S5" s="6"/>
      <c r="T5" s="6"/>
      <c r="U5" s="6"/>
      <c r="V5" s="6"/>
      <c r="W5" s="6"/>
      <c r="X5" s="6"/>
      <c r="Y5" s="6"/>
    </row>
    <row r="6" spans="1:25" x14ac:dyDescent="0.3">
      <c r="A6" s="6"/>
      <c r="B6" s="6"/>
      <c r="C6" s="6"/>
      <c r="D6" s="6"/>
      <c r="E6" s="6"/>
      <c r="F6" s="6"/>
      <c r="G6" s="6"/>
      <c r="H6" s="6"/>
      <c r="I6" s="6"/>
      <c r="J6" s="6"/>
      <c r="K6" s="6"/>
      <c r="L6" s="6"/>
      <c r="M6" s="6"/>
      <c r="N6" s="6"/>
      <c r="O6" s="6"/>
      <c r="P6" s="6"/>
      <c r="Q6" s="6"/>
      <c r="R6" s="6"/>
      <c r="S6" s="6"/>
      <c r="T6" s="6"/>
      <c r="U6" s="6"/>
      <c r="V6" s="6"/>
      <c r="W6" s="6"/>
      <c r="X6" s="6"/>
      <c r="Y6" s="6"/>
    </row>
    <row r="7" spans="1:25" x14ac:dyDescent="0.3">
      <c r="A7" s="6"/>
      <c r="B7" s="6"/>
      <c r="C7" s="6"/>
      <c r="D7" s="6"/>
      <c r="E7" s="6"/>
      <c r="F7" s="6"/>
      <c r="G7" s="6"/>
      <c r="H7" s="6"/>
      <c r="I7" s="6"/>
      <c r="J7" s="6"/>
      <c r="K7" s="6"/>
      <c r="L7" s="6"/>
      <c r="M7" s="6"/>
      <c r="N7" s="6"/>
      <c r="O7" s="6"/>
      <c r="P7" s="6"/>
      <c r="Q7" s="6"/>
      <c r="R7" s="6"/>
      <c r="S7" s="6"/>
      <c r="T7" s="6"/>
      <c r="U7" s="6"/>
      <c r="V7" s="6"/>
      <c r="W7" s="6"/>
      <c r="X7" s="6"/>
      <c r="Y7" s="6"/>
    </row>
    <row r="8" spans="1:25" x14ac:dyDescent="0.3">
      <c r="A8" s="6"/>
      <c r="B8" s="6"/>
      <c r="C8" s="6"/>
      <c r="D8" s="6"/>
      <c r="E8" s="6"/>
      <c r="F8" s="6"/>
      <c r="G8" s="6"/>
      <c r="H8" s="6"/>
      <c r="I8" s="6"/>
      <c r="J8" s="6"/>
      <c r="K8" s="6"/>
      <c r="L8" s="6"/>
      <c r="M8" s="6"/>
      <c r="N8" s="6"/>
      <c r="O8" s="6"/>
      <c r="P8" s="6"/>
      <c r="Q8" s="6"/>
      <c r="R8" s="6"/>
      <c r="S8" s="6"/>
      <c r="T8" s="6"/>
      <c r="U8" s="6"/>
      <c r="V8" s="6"/>
      <c r="W8" s="6"/>
      <c r="X8" s="6"/>
      <c r="Y8" s="6"/>
    </row>
    <row r="9" spans="1:25" x14ac:dyDescent="0.3">
      <c r="A9" s="6"/>
      <c r="B9" s="6"/>
      <c r="C9" s="6"/>
      <c r="D9" s="6"/>
      <c r="E9" s="6"/>
      <c r="F9" s="6"/>
      <c r="G9" s="6"/>
      <c r="H9" s="6"/>
      <c r="I9" s="6"/>
      <c r="J9" s="6"/>
      <c r="K9" s="6"/>
      <c r="L9" s="6"/>
      <c r="M9" s="6"/>
      <c r="N9" s="6"/>
      <c r="O9" s="6"/>
      <c r="P9" s="6"/>
      <c r="Q9" s="6"/>
      <c r="R9" s="6"/>
      <c r="S9" s="6"/>
      <c r="T9" s="6"/>
      <c r="U9" s="6"/>
      <c r="V9" s="6"/>
      <c r="W9" s="6"/>
      <c r="X9" s="6"/>
      <c r="Y9" s="6"/>
    </row>
    <row r="10" spans="1:25" x14ac:dyDescent="0.3">
      <c r="A10" s="6"/>
      <c r="B10" s="6"/>
      <c r="C10" s="3"/>
      <c r="D10" s="3"/>
      <c r="E10" s="3"/>
      <c r="F10" s="3"/>
      <c r="G10" s="3"/>
      <c r="H10" s="3"/>
      <c r="I10" s="3"/>
      <c r="J10" s="3"/>
      <c r="K10" s="3"/>
      <c r="L10" s="3"/>
      <c r="M10" s="3"/>
      <c r="N10" s="3"/>
      <c r="O10" s="3"/>
      <c r="P10" s="3"/>
      <c r="Q10" s="3"/>
      <c r="R10" s="3"/>
      <c r="S10" s="3"/>
      <c r="T10" s="3"/>
      <c r="U10" s="3"/>
      <c r="V10" s="3"/>
      <c r="W10" s="3"/>
      <c r="X10" s="6"/>
      <c r="Y10" s="6"/>
    </row>
    <row r="11" spans="1:25" x14ac:dyDescent="0.3">
      <c r="A11" s="6"/>
      <c r="B11" s="6"/>
      <c r="C11" s="3"/>
      <c r="D11" s="3"/>
      <c r="E11" s="3"/>
      <c r="F11" s="3"/>
      <c r="G11" s="3"/>
      <c r="H11" s="3"/>
      <c r="I11" s="3"/>
      <c r="J11" s="3"/>
      <c r="K11" s="3"/>
      <c r="L11" s="3"/>
      <c r="M11" s="3"/>
      <c r="N11" s="3"/>
      <c r="O11" s="3"/>
      <c r="P11" s="3"/>
      <c r="Q11" s="3"/>
      <c r="R11" s="3"/>
      <c r="S11" s="3"/>
      <c r="T11" s="3"/>
      <c r="U11" s="3"/>
      <c r="V11" s="3"/>
      <c r="W11" s="3"/>
      <c r="X11" s="6"/>
      <c r="Y11" s="6"/>
    </row>
    <row r="12" spans="1:25" x14ac:dyDescent="0.3">
      <c r="A12" s="6"/>
      <c r="B12" s="6"/>
      <c r="C12" s="3"/>
      <c r="D12" s="3"/>
      <c r="E12" s="3"/>
      <c r="F12" s="3"/>
      <c r="G12" s="3"/>
      <c r="H12" s="3"/>
      <c r="I12" s="3"/>
      <c r="J12" s="3"/>
      <c r="K12" s="3"/>
      <c r="L12" s="3"/>
      <c r="M12" s="3"/>
      <c r="N12" s="3"/>
      <c r="O12" s="3"/>
      <c r="P12" s="3"/>
      <c r="Q12" s="3"/>
      <c r="R12" s="3"/>
      <c r="S12" s="3"/>
      <c r="T12" s="3"/>
      <c r="U12" s="3"/>
      <c r="V12" s="3"/>
      <c r="W12" s="3"/>
      <c r="X12" s="6"/>
      <c r="Y12" s="6"/>
    </row>
    <row r="13" spans="1:25" x14ac:dyDescent="0.3">
      <c r="A13" s="6"/>
      <c r="B13" s="6"/>
      <c r="C13" s="3"/>
      <c r="D13" s="3"/>
      <c r="E13" s="3"/>
      <c r="F13" s="3"/>
      <c r="G13" s="3"/>
      <c r="H13" s="3"/>
      <c r="I13" s="3"/>
      <c r="J13" s="3"/>
      <c r="K13" s="3"/>
      <c r="L13" s="3"/>
      <c r="M13" s="3"/>
      <c r="N13" s="3"/>
      <c r="O13" s="3"/>
      <c r="P13" s="3"/>
      <c r="Q13" s="3"/>
      <c r="R13" s="3"/>
      <c r="S13" s="3"/>
      <c r="T13" s="3"/>
      <c r="U13" s="3"/>
      <c r="V13" s="3"/>
      <c r="W13" s="3"/>
      <c r="X13" s="6"/>
      <c r="Y13" s="6"/>
    </row>
    <row r="14" spans="1:25" x14ac:dyDescent="0.3">
      <c r="A14" s="6"/>
      <c r="B14" s="6"/>
      <c r="C14" s="3"/>
      <c r="D14" s="3"/>
      <c r="E14" s="3"/>
      <c r="F14" s="3"/>
      <c r="G14" s="3"/>
      <c r="H14" s="3"/>
      <c r="I14" s="3"/>
      <c r="J14" s="3"/>
      <c r="K14" s="3"/>
      <c r="L14" s="3"/>
      <c r="M14" s="3"/>
      <c r="N14" s="3"/>
      <c r="O14" s="3"/>
      <c r="P14" s="3"/>
      <c r="Q14" s="3"/>
      <c r="R14" s="3"/>
      <c r="S14" s="3"/>
      <c r="T14" s="3"/>
      <c r="U14" s="3"/>
      <c r="V14" s="3"/>
      <c r="W14" s="3"/>
      <c r="X14" s="6"/>
      <c r="Y14" s="6"/>
    </row>
    <row r="15" spans="1:25" x14ac:dyDescent="0.3">
      <c r="A15" s="6"/>
      <c r="B15" s="6"/>
      <c r="C15" s="3"/>
      <c r="D15" s="3"/>
      <c r="E15" s="3"/>
      <c r="F15" s="3"/>
      <c r="G15" s="3"/>
      <c r="H15" s="3"/>
      <c r="I15" s="3"/>
      <c r="J15" s="3"/>
      <c r="K15" s="3"/>
      <c r="L15" s="3"/>
      <c r="M15" s="3"/>
      <c r="N15" s="3"/>
      <c r="O15" s="3"/>
      <c r="P15" s="3"/>
      <c r="Q15" s="3"/>
      <c r="R15" s="3"/>
      <c r="S15" s="3"/>
      <c r="T15" s="3"/>
      <c r="U15" s="3"/>
      <c r="V15" s="3"/>
      <c r="W15" s="3"/>
      <c r="X15" s="6"/>
      <c r="Y15" s="6"/>
    </row>
    <row r="16" spans="1:25" x14ac:dyDescent="0.3">
      <c r="A16" s="6"/>
      <c r="B16" s="6"/>
      <c r="C16" s="3"/>
      <c r="D16" s="3"/>
      <c r="E16" s="3"/>
      <c r="F16" s="3"/>
      <c r="G16" s="3"/>
      <c r="H16" s="3"/>
      <c r="I16" s="3"/>
      <c r="J16" s="3"/>
      <c r="K16" s="3"/>
      <c r="L16" s="3"/>
      <c r="M16" s="3"/>
      <c r="N16" s="3"/>
      <c r="O16" s="3"/>
      <c r="P16" s="3"/>
      <c r="Q16" s="3"/>
      <c r="R16" s="3"/>
      <c r="S16" s="3"/>
      <c r="T16" s="3"/>
      <c r="U16" s="3"/>
      <c r="V16" s="3"/>
      <c r="W16" s="3"/>
      <c r="X16" s="6"/>
      <c r="Y16" s="6"/>
    </row>
    <row r="17" spans="1:25" x14ac:dyDescent="0.3">
      <c r="A17" s="6"/>
      <c r="B17" s="6"/>
      <c r="C17" s="3"/>
      <c r="D17" s="3"/>
      <c r="E17" s="3"/>
      <c r="F17" s="3"/>
      <c r="G17" s="3"/>
      <c r="H17" s="3"/>
      <c r="I17" s="3"/>
      <c r="J17" s="3"/>
      <c r="K17" s="3"/>
      <c r="L17" s="3"/>
      <c r="M17" s="3"/>
      <c r="N17" s="3"/>
      <c r="O17" s="3"/>
      <c r="P17" s="3"/>
      <c r="Q17" s="3"/>
      <c r="R17" s="3"/>
      <c r="S17" s="3"/>
      <c r="T17" s="3"/>
      <c r="U17" s="3"/>
      <c r="V17" s="3"/>
      <c r="W17" s="3"/>
      <c r="X17" s="6"/>
      <c r="Y17" s="6"/>
    </row>
    <row r="18" spans="1:25" x14ac:dyDescent="0.3">
      <c r="A18" s="6"/>
      <c r="B18" s="6"/>
      <c r="C18" s="3"/>
      <c r="D18" s="3"/>
      <c r="E18" s="3"/>
      <c r="F18" s="3"/>
      <c r="G18" s="3"/>
      <c r="H18" s="3"/>
      <c r="I18" s="3"/>
      <c r="J18" s="3"/>
      <c r="K18" s="3"/>
      <c r="L18" s="3"/>
      <c r="M18" s="3"/>
      <c r="N18" s="3"/>
      <c r="O18" s="3"/>
      <c r="P18" s="3"/>
      <c r="Q18" s="3"/>
      <c r="R18" s="3"/>
      <c r="S18" s="3"/>
      <c r="T18" s="3"/>
      <c r="U18" s="3"/>
      <c r="V18" s="3"/>
      <c r="W18" s="3"/>
      <c r="X18" s="6"/>
      <c r="Y18" s="6"/>
    </row>
    <row r="19" spans="1:25" x14ac:dyDescent="0.3">
      <c r="A19" s="6"/>
      <c r="B19" s="6"/>
      <c r="C19" s="3"/>
      <c r="D19" s="3"/>
      <c r="E19" s="3"/>
      <c r="F19" s="3"/>
      <c r="G19" s="3"/>
      <c r="H19" s="3"/>
      <c r="I19" s="3"/>
      <c r="J19" s="3"/>
      <c r="K19" s="3"/>
      <c r="L19" s="3"/>
      <c r="M19" s="3"/>
      <c r="N19" s="3"/>
      <c r="O19" s="3"/>
      <c r="P19" s="3"/>
      <c r="Q19" s="3"/>
      <c r="R19" s="3"/>
      <c r="S19" s="3"/>
      <c r="T19" s="3"/>
      <c r="U19" s="3"/>
      <c r="V19" s="3"/>
      <c r="W19" s="3"/>
      <c r="X19" s="6"/>
      <c r="Y19" s="6"/>
    </row>
    <row r="20" spans="1:25" x14ac:dyDescent="0.3">
      <c r="A20" s="6"/>
      <c r="B20" s="6"/>
      <c r="C20" s="3"/>
      <c r="D20" s="3"/>
      <c r="E20" s="3"/>
      <c r="F20" s="3"/>
      <c r="G20" s="3"/>
      <c r="H20" s="3"/>
      <c r="I20" s="3"/>
      <c r="J20" s="3"/>
      <c r="K20" s="3"/>
      <c r="L20" s="3"/>
      <c r="M20" s="3"/>
      <c r="N20" s="3"/>
      <c r="O20" s="3"/>
      <c r="P20" s="3"/>
      <c r="Q20" s="3"/>
      <c r="R20" s="3"/>
      <c r="S20" s="3"/>
      <c r="T20" s="3"/>
      <c r="U20" s="3"/>
      <c r="V20" s="3"/>
      <c r="W20" s="3"/>
      <c r="X20" s="6"/>
      <c r="Y20" s="6"/>
    </row>
    <row r="21" spans="1:25" x14ac:dyDescent="0.3">
      <c r="A21" s="6"/>
      <c r="B21" s="6"/>
      <c r="C21" s="3"/>
      <c r="D21" s="3"/>
      <c r="E21" s="3"/>
      <c r="F21" s="3"/>
      <c r="G21" s="3"/>
      <c r="H21" s="3"/>
      <c r="I21" s="3"/>
      <c r="J21" s="3"/>
      <c r="K21" s="3"/>
      <c r="L21" s="3"/>
      <c r="M21" s="3"/>
      <c r="N21" s="3"/>
      <c r="O21" s="3"/>
      <c r="P21" s="3"/>
      <c r="Q21" s="3"/>
      <c r="R21" s="3"/>
      <c r="S21" s="3"/>
      <c r="T21" s="3"/>
      <c r="U21" s="3"/>
      <c r="V21" s="3"/>
      <c r="W21" s="3"/>
      <c r="X21" s="6"/>
      <c r="Y21" s="6"/>
    </row>
    <row r="22" spans="1:25" x14ac:dyDescent="0.3">
      <c r="A22" s="6"/>
      <c r="B22" s="6"/>
      <c r="C22" s="3"/>
      <c r="D22" s="3"/>
      <c r="E22" s="3"/>
      <c r="F22" s="3"/>
      <c r="G22" s="3"/>
      <c r="H22" s="3"/>
      <c r="I22" s="3"/>
      <c r="J22" s="3"/>
      <c r="K22" s="3"/>
      <c r="L22" s="3"/>
      <c r="M22" s="3"/>
      <c r="N22" s="3"/>
      <c r="O22" s="3"/>
      <c r="P22" s="3"/>
      <c r="Q22" s="3"/>
      <c r="R22" s="3"/>
      <c r="S22" s="3"/>
      <c r="T22" s="3"/>
      <c r="U22" s="3"/>
      <c r="V22" s="3"/>
      <c r="W22" s="3"/>
      <c r="X22" s="6"/>
      <c r="Y22" s="6"/>
    </row>
    <row r="23" spans="1:25" x14ac:dyDescent="0.3">
      <c r="A23" s="6"/>
      <c r="B23" s="6"/>
      <c r="C23" s="3"/>
      <c r="D23" s="3"/>
      <c r="E23" s="3"/>
      <c r="F23" s="3"/>
      <c r="G23" s="3"/>
      <c r="H23" s="3"/>
      <c r="I23" s="3"/>
      <c r="J23" s="3"/>
      <c r="K23" s="3"/>
      <c r="L23" s="3"/>
      <c r="M23" s="3"/>
      <c r="N23" s="3"/>
      <c r="O23" s="3"/>
      <c r="P23" s="3"/>
      <c r="Q23" s="3"/>
      <c r="R23" s="3"/>
      <c r="S23" s="3"/>
      <c r="T23" s="3"/>
      <c r="U23" s="3"/>
      <c r="V23" s="3"/>
      <c r="W23" s="3"/>
      <c r="X23" s="6"/>
      <c r="Y23" s="6"/>
    </row>
    <row r="24" spans="1:25" x14ac:dyDescent="0.3">
      <c r="A24" s="6"/>
      <c r="B24" s="6"/>
      <c r="C24" s="3"/>
      <c r="D24" s="3"/>
      <c r="E24" s="3"/>
      <c r="F24" s="3"/>
      <c r="G24" s="3"/>
      <c r="H24" s="3"/>
      <c r="I24" s="3"/>
      <c r="J24" s="3"/>
      <c r="K24" s="3"/>
      <c r="L24" s="3"/>
      <c r="M24" s="3"/>
      <c r="N24" s="3"/>
      <c r="O24" s="3"/>
      <c r="P24" s="3"/>
      <c r="Q24" s="3"/>
      <c r="R24" s="3"/>
      <c r="S24" s="3"/>
      <c r="T24" s="3"/>
      <c r="U24" s="3"/>
      <c r="V24" s="3"/>
      <c r="W24" s="3"/>
      <c r="X24" s="6"/>
      <c r="Y24" s="6"/>
    </row>
    <row r="25" spans="1:25" ht="15.6" x14ac:dyDescent="0.3">
      <c r="A25" s="6"/>
      <c r="B25" s="6"/>
      <c r="C25" s="3"/>
      <c r="D25" s="3"/>
      <c r="E25" s="3"/>
      <c r="F25" s="3"/>
      <c r="G25" s="3"/>
      <c r="H25" s="3"/>
      <c r="I25" s="3"/>
      <c r="J25" s="3"/>
      <c r="K25" s="3"/>
      <c r="L25" s="3"/>
      <c r="M25" s="3"/>
      <c r="N25" s="3"/>
      <c r="O25" s="3"/>
      <c r="P25" s="3"/>
      <c r="Q25" s="3"/>
      <c r="R25" s="3"/>
      <c r="S25" s="3"/>
      <c r="T25" s="3"/>
      <c r="U25" s="3"/>
      <c r="V25" s="3"/>
      <c r="W25" s="7"/>
      <c r="X25" s="6"/>
      <c r="Y25" s="6"/>
    </row>
    <row r="26" spans="1:25" x14ac:dyDescent="0.3">
      <c r="A26" s="6"/>
      <c r="B26" s="6"/>
      <c r="C26" s="3"/>
      <c r="D26" s="3"/>
      <c r="E26" s="3"/>
      <c r="F26" s="3"/>
      <c r="G26" s="3"/>
      <c r="H26" s="3"/>
      <c r="I26" s="3"/>
      <c r="J26" s="3"/>
      <c r="K26" s="3"/>
      <c r="L26" s="3"/>
      <c r="M26" s="3"/>
      <c r="N26" s="3"/>
      <c r="O26" s="3"/>
      <c r="P26" s="3"/>
      <c r="Q26" s="3"/>
      <c r="R26" s="3"/>
      <c r="S26" s="3"/>
      <c r="T26" s="3"/>
      <c r="U26" s="3"/>
      <c r="V26" s="3"/>
      <c r="W26" s="3"/>
      <c r="X26" s="6"/>
      <c r="Y26" s="6"/>
    </row>
    <row r="27" spans="1:25" x14ac:dyDescent="0.3">
      <c r="A27" s="6"/>
      <c r="B27" s="6"/>
      <c r="C27" s="3"/>
      <c r="D27" s="3"/>
      <c r="E27" s="3"/>
      <c r="F27" s="3"/>
      <c r="G27" s="3"/>
      <c r="H27" s="3"/>
      <c r="I27" s="3"/>
      <c r="J27" s="3"/>
      <c r="K27" s="3"/>
      <c r="L27" s="3"/>
      <c r="M27" s="3"/>
      <c r="N27" s="3"/>
      <c r="O27" s="3"/>
      <c r="P27" s="3"/>
      <c r="Q27" s="3"/>
      <c r="R27" s="3"/>
      <c r="S27" s="3"/>
      <c r="T27" s="3"/>
      <c r="U27" s="3"/>
      <c r="V27" s="3"/>
      <c r="W27" s="3"/>
      <c r="X27" s="6"/>
      <c r="Y27" s="6"/>
    </row>
    <row r="28" spans="1:25" x14ac:dyDescent="0.3">
      <c r="A28" s="6"/>
      <c r="B28" s="6"/>
      <c r="C28" s="3"/>
      <c r="D28" s="3"/>
      <c r="E28" s="3"/>
      <c r="F28" s="3"/>
      <c r="G28" s="3"/>
      <c r="H28" s="3"/>
      <c r="I28" s="3"/>
      <c r="J28" s="3"/>
      <c r="K28" s="3"/>
      <c r="L28" s="3"/>
      <c r="M28" s="3"/>
      <c r="N28" s="3"/>
      <c r="O28" s="3"/>
      <c r="P28" s="3"/>
      <c r="Q28" s="3"/>
      <c r="R28" s="3"/>
      <c r="S28" s="3"/>
      <c r="T28" s="3"/>
      <c r="U28" s="3"/>
      <c r="V28" s="3"/>
      <c r="W28" s="3"/>
      <c r="X28" s="6"/>
      <c r="Y28" s="6"/>
    </row>
    <row r="29" spans="1:25" x14ac:dyDescent="0.3">
      <c r="A29" s="6"/>
      <c r="B29" s="6"/>
      <c r="C29" s="3"/>
      <c r="D29" s="3"/>
      <c r="E29" s="3"/>
      <c r="F29" s="3"/>
      <c r="G29" s="3"/>
      <c r="H29" s="3"/>
      <c r="I29" s="3"/>
      <c r="J29" s="3"/>
      <c r="K29" s="3"/>
      <c r="L29" s="3"/>
      <c r="M29" s="3"/>
      <c r="N29" s="3"/>
      <c r="O29" s="3"/>
      <c r="P29" s="3"/>
      <c r="Q29" s="3"/>
      <c r="R29" s="3"/>
      <c r="S29" s="3"/>
      <c r="T29" s="3"/>
      <c r="U29" s="3"/>
      <c r="V29" s="3"/>
      <c r="W29" s="3"/>
      <c r="X29" s="6"/>
      <c r="Y29" s="6"/>
    </row>
    <row r="30" spans="1:25" x14ac:dyDescent="0.3">
      <c r="A30" s="6"/>
      <c r="B30" s="6"/>
      <c r="C30" s="3"/>
      <c r="D30" s="3"/>
      <c r="E30" s="3"/>
      <c r="F30" s="3"/>
      <c r="G30" s="3"/>
      <c r="H30" s="3"/>
      <c r="I30" s="3"/>
      <c r="J30" s="3"/>
      <c r="K30" s="3"/>
      <c r="L30" s="3"/>
      <c r="M30" s="3"/>
      <c r="N30" s="3"/>
      <c r="O30" s="3"/>
      <c r="P30" s="3"/>
      <c r="Q30" s="3"/>
      <c r="R30" s="3"/>
      <c r="S30" s="3"/>
      <c r="T30" s="3"/>
      <c r="U30" s="3"/>
      <c r="V30" s="3"/>
      <c r="W30" s="3"/>
      <c r="X30" s="6"/>
      <c r="Y30" s="6"/>
    </row>
    <row r="31" spans="1:25" x14ac:dyDescent="0.3">
      <c r="A31" s="6"/>
      <c r="B31" s="6"/>
      <c r="C31" s="3"/>
      <c r="D31" s="3"/>
      <c r="E31" s="3"/>
      <c r="F31" s="3"/>
      <c r="G31" s="3"/>
      <c r="H31" s="3"/>
      <c r="I31" s="3"/>
      <c r="J31" s="3"/>
      <c r="K31" s="3"/>
      <c r="L31" s="3"/>
      <c r="M31" s="3"/>
      <c r="N31" s="3"/>
      <c r="O31" s="3"/>
      <c r="P31" s="3"/>
      <c r="Q31" s="3"/>
      <c r="R31" s="3"/>
      <c r="S31" s="3"/>
      <c r="T31" s="3"/>
      <c r="U31" s="3"/>
      <c r="V31" s="3"/>
      <c r="W31" s="3"/>
      <c r="X31" s="6"/>
      <c r="Y31" s="6"/>
    </row>
    <row r="32" spans="1:25" x14ac:dyDescent="0.3">
      <c r="A32" s="6"/>
      <c r="B32" s="6"/>
      <c r="C32" s="3"/>
      <c r="D32" s="3"/>
      <c r="E32" s="3"/>
      <c r="F32" s="3"/>
      <c r="G32" s="3"/>
      <c r="H32" s="3"/>
      <c r="I32" s="3"/>
      <c r="J32" s="3"/>
      <c r="K32" s="3"/>
      <c r="L32" s="3"/>
      <c r="M32" s="3"/>
      <c r="N32" s="3"/>
      <c r="O32" s="3"/>
      <c r="P32" s="3"/>
      <c r="Q32" s="3"/>
      <c r="R32" s="3"/>
      <c r="S32" s="3"/>
      <c r="T32" s="3"/>
      <c r="U32" s="3"/>
      <c r="V32" s="3"/>
      <c r="W32" s="3"/>
      <c r="X32" s="6"/>
      <c r="Y32" s="6"/>
    </row>
    <row r="33" spans="1:25" x14ac:dyDescent="0.3">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3">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3">
      <c r="A35" s="6"/>
      <c r="B35" s="6"/>
      <c r="C35" s="6"/>
      <c r="D35" s="6"/>
      <c r="E35" s="6"/>
      <c r="F35" s="6"/>
      <c r="G35" s="6"/>
      <c r="H35" s="6"/>
      <c r="I35" s="6"/>
      <c r="J35" s="6"/>
      <c r="K35" s="6"/>
      <c r="L35" s="6"/>
      <c r="M35" s="6"/>
      <c r="N35" s="6"/>
      <c r="O35" s="6"/>
      <c r="P35" s="6"/>
      <c r="Q35" s="6"/>
      <c r="R35" s="6"/>
      <c r="S35" s="6"/>
      <c r="T35" s="6"/>
      <c r="U35" s="6"/>
      <c r="V35" s="6"/>
      <c r="W35" s="6"/>
      <c r="X35" s="6"/>
      <c r="Y35" s="6"/>
    </row>
    <row r="36" spans="1:25" x14ac:dyDescent="0.3">
      <c r="A36" s="6"/>
      <c r="B36" s="6"/>
      <c r="C36" s="6"/>
      <c r="D36" s="6"/>
      <c r="E36" s="6"/>
      <c r="F36" s="6"/>
      <c r="G36" s="6"/>
      <c r="H36" s="6"/>
      <c r="I36" s="6"/>
      <c r="J36" s="6"/>
      <c r="K36" s="6"/>
      <c r="L36" s="6"/>
      <c r="M36" s="6"/>
      <c r="N36" s="6"/>
      <c r="O36" s="6"/>
      <c r="P36" s="6"/>
      <c r="Q36" s="6"/>
      <c r="R36" s="6"/>
      <c r="S36" s="6"/>
      <c r="T36" s="6"/>
      <c r="U36" s="6"/>
      <c r="V36" s="6"/>
      <c r="W36" s="6"/>
      <c r="X36" s="6"/>
      <c r="Y36" s="6"/>
    </row>
    <row r="37" spans="1:25" x14ac:dyDescent="0.3">
      <c r="A37" s="6"/>
      <c r="B37" s="6"/>
      <c r="C37" s="6"/>
      <c r="D37" s="6"/>
      <c r="E37" s="6"/>
      <c r="F37" s="6"/>
      <c r="G37" s="6"/>
      <c r="H37" s="6"/>
      <c r="I37" s="6"/>
      <c r="J37" s="6"/>
      <c r="K37" s="6"/>
      <c r="L37" s="6"/>
      <c r="M37" s="6"/>
      <c r="N37" s="6"/>
      <c r="O37" s="6"/>
      <c r="P37" s="6"/>
      <c r="Q37" s="6"/>
      <c r="R37" s="6"/>
      <c r="S37" s="6"/>
      <c r="T37" s="6"/>
      <c r="U37" s="6"/>
      <c r="V37" s="6"/>
      <c r="W37" s="6"/>
      <c r="X37" s="6"/>
      <c r="Y37" s="6"/>
    </row>
  </sheetData>
  <mergeCells count="2">
    <mergeCell ref="A1:Y1"/>
    <mergeCell ref="A2: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Day13</vt:lpstr>
      <vt:lpstr>Day14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Agrim Saxena</dc:creator>
  <cp:lastModifiedBy>Agrim Saxena</cp:lastModifiedBy>
  <dcterms:created xsi:type="dcterms:W3CDTF">2026-09-21T12:46:15Z</dcterms:created>
  <dcterms:modified xsi:type="dcterms:W3CDTF">2026-09-21T15:54:50Z</dcterms:modified>
</cp:coreProperties>
</file>