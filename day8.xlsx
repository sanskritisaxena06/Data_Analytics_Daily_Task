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0" documentId="8_{923DCECE-2BDA-477A-B1CE-38B75FDF08DA}" xr6:coauthVersionLast="47" xr6:coauthVersionMax="47" xr10:uidLastSave="{00000000-0000-0000-0000-000000000000}"/>
  <bookViews>
    <workbookView xWindow="-108" yWindow="-108" windowWidth="23256" windowHeight="13176" xr2:uid="{E60C1608-E68B-4162-BD95-684F093C8E2B}"/>
  </bookViews>
  <sheets>
    <sheet name="day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5" i="1"/>
  <c r="G13" i="1"/>
  <c r="G11" i="1"/>
  <c r="P9" i="1"/>
  <c r="O9" i="1"/>
  <c r="N9" i="1"/>
  <c r="M9" i="1"/>
  <c r="L9" i="1"/>
  <c r="I9" i="1"/>
  <c r="K9" i="1" s="1"/>
  <c r="P8" i="1"/>
  <c r="O8" i="1"/>
  <c r="N8" i="1"/>
  <c r="M8" i="1"/>
  <c r="L8" i="1"/>
  <c r="I8" i="1"/>
  <c r="K8" i="1" s="1"/>
  <c r="P7" i="1"/>
  <c r="O7" i="1"/>
  <c r="N7" i="1"/>
  <c r="M7" i="1"/>
  <c r="L7" i="1"/>
  <c r="I7" i="1"/>
  <c r="K7" i="1" s="1"/>
  <c r="P6" i="1"/>
  <c r="O6" i="1"/>
  <c r="N6" i="1"/>
  <c r="M6" i="1"/>
  <c r="L6" i="1"/>
  <c r="I6" i="1"/>
  <c r="K6" i="1" s="1"/>
  <c r="P5" i="1"/>
  <c r="O5" i="1"/>
  <c r="N5" i="1"/>
  <c r="M5" i="1"/>
  <c r="L5" i="1"/>
  <c r="I5" i="1"/>
  <c r="K5" i="1" s="1"/>
  <c r="J6" i="1" l="1"/>
  <c r="J9" i="1"/>
  <c r="J7" i="1"/>
  <c r="J5" i="1"/>
  <c r="J8" i="1"/>
</calcChain>
</file>

<file path=xl/sharedStrings.xml><?xml version="1.0" encoding="utf-8"?>
<sst xmlns="http://schemas.openxmlformats.org/spreadsheetml/2006/main" count="32" uniqueCount="29">
  <si>
    <t>Day 8</t>
  </si>
  <si>
    <t>Higlight Cells , Vlookup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</si>
  <si>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</si>
  <si>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</si>
  <si>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</si>
  <si>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</si>
  <si>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</si>
  <si>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</si>
  <si>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</si>
  <si>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</si>
  <si>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</si>
  <si>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</si>
  <si>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</si>
  <si>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</si>
  <si>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</si>
  <si>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Length of first name</t>
  </si>
  <si>
    <t>Capatilize first letter of first name</t>
  </si>
  <si>
    <t>Capatilize all letters of first name</t>
  </si>
  <si>
    <t>Sanskriti</t>
  </si>
  <si>
    <t>Saxena</t>
  </si>
  <si>
    <t>Anu</t>
  </si>
  <si>
    <t>Shubh</t>
  </si>
  <si>
    <t>Alok</t>
  </si>
  <si>
    <t>Singh</t>
  </si>
  <si>
    <t>Riya</t>
  </si>
  <si>
    <t>pal</t>
  </si>
  <si>
    <t>Total Subject</t>
  </si>
  <si>
    <t>No. of Pass Student</t>
  </si>
  <si>
    <t>Find Marks of Sanskriti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</si>
</sst>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34B18-5B71-46E2-9EDF-235505589B3B}" name="Table13468" displayName="Table13468" ref="A4:P9" totalsRowShown="0" headerRowDxfId="13">
  <autoFilter ref="A4:P9" xr:uid="{35C34B18-5B71-46E2-9EDF-235505589B3B}"/>
  <tableColumns count="16">
    <tableColumn id="1" xr3:uid="{1D997991-4A48-4C7A-B969-89A285569405}" name="Student ID" dataDxfId="12"/>
    <tableColumn id="2" xr3:uid="{70C164DB-56AB-442A-85E3-A3160E955D07}" name="First Name" dataDxfId="11"/>
    <tableColumn id="3" xr3:uid="{6C5066FC-FFC9-4956-9C58-542FEAD9A6D2}" name="Last Name" dataDxfId="10"/>
    <tableColumn id="4" xr3:uid="{720D9DD5-3930-4C15-B5F4-865658E45FED}" name="Mathematics" dataDxfId="9"/>
    <tableColumn id="5" xr3:uid="{5C087111-C635-4408-B8C3-F6DC9B6F2DC2}" name="Science" dataDxfId="8"/>
    <tableColumn id="6" xr3:uid="{B743ED44-0C98-4DE2-8869-21F9D2446849}" name="English" dataDxfId="7"/>
    <tableColumn id="7" xr3:uid="{711D85F3-5B4B-4A03-B20E-BE9F93A0C91C}" name="Computer" dataDxfId="6"/>
    <tableColumn id="8" xr3:uid="{53747BE7-8A9F-403E-B4A4-32A702CA9F6B}" name="Social Science" dataDxfId="5"/>
    <tableColumn id="9" xr3:uid="{D54EB28E-F212-4CF8-B7FF-A6FB8E4E7869}" name="Total">
      <calculatedColumnFormula>SUM(D5:H5)</calculatedColumnFormula>
    </tableColumn>
    <tableColumn id="10" xr3:uid="{157FD97F-74DE-4AF4-99B5-C9B05CA2ACBE}" name="Average">
      <calculatedColumnFormula>I5/5</calculatedColumnFormula>
    </tableColumn>
    <tableColumn id="11" xr3:uid="{7D1EF1AC-DB67-4D0F-845F-E7FADC5C1157}" name="Percentage">
      <calculatedColumnFormula>(I5/500) *100</calculatedColumnFormula>
    </tableColumn>
    <tableColumn id="12" xr3:uid="{86BFBF49-0B8F-4C0F-A095-274CD37244A5}" name="Is_Fail" dataDxfId="4">
      <calculatedColumnFormula>IF(SUMIF(Table13468[[#This Row],[Mathematics]]:Table13468[[#This Row],[Social Science]],"&gt;=50",Table13468[[#This Row],[Mathematics]]:Table13468[[#This Row],[Social Science]])=SUM(Table13468[[#This Row],[Mathematics]]:Table13468[[#This Row],[Social Science]]),"Pass","Fail")</calculatedColumnFormula>
    </tableColumn>
    <tableColumn id="13" xr3:uid="{18A3EEEF-CCEC-4380-B282-ACDC5A4DBA41}" name="Marks Given in No of Sub" dataDxfId="3">
      <calculatedColumnFormula>COUNTA(Table13468[[#This Row],[Mathematics]]:Table13468[[#This Row],[Social Science]])</calculatedColumnFormula>
    </tableColumn>
    <tableColumn id="14" xr3:uid="{4F81EE8C-1B55-4AB3-ACC4-7F225E40079B}" name="Length of first name" dataDxfId="2">
      <calculatedColumnFormula>LEN(Table13468[[#This Row],[First Name]])</calculatedColumnFormula>
    </tableColumn>
    <tableColumn id="15" xr3:uid="{4640C62C-45D6-45CD-9396-4AE281C819A1}" name="Capatilize first letter of first name" dataDxfId="1">
      <calculatedColumnFormula>PROPER(Table13468[[#This Row],[First Name]])</calculatedColumnFormula>
    </tableColumn>
    <tableColumn id="16" xr3:uid="{D9DFC863-5D5F-4E7F-9065-C33E6942DC11}" name="Capatilize all letters of first name" dataDxfId="0">
      <calculatedColumnFormula>UPPER(Table13468[[#This Row],[First Name]])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B395-A937-454B-8C19-B7DC6B260E10}">
  <dimension ref="A1:P17"/>
  <sheetViews>
    <sheetView tabSelected="1" workbookViewId="0">
      <selection activeCell="C23" sqref="C23"/>
    </sheetView>
  </sheetViews>
  <sheetFormatPr defaultRowHeight="14.4" x14ac:dyDescent="0.3"/>
  <cols>
    <col min="1" max="1" width="12.109375" bestFit="1" customWidth="1"/>
    <col min="2" max="3" width="10.44140625" bestFit="1" customWidth="1"/>
    <col min="4" max="4" width="8.21875" bestFit="1" customWidth="1"/>
    <col min="5" max="5" width="7.33203125" bestFit="1" customWidth="1"/>
    <col min="6" max="6" width="28.77734375" bestFit="1" customWidth="1"/>
    <col min="7" max="7" width="8.77734375" bestFit="1" customWidth="1"/>
    <col min="8" max="8" width="7.33203125" bestFit="1" customWidth="1"/>
    <col min="9" max="9" width="5.21875" bestFit="1" customWidth="1"/>
    <col min="10" max="10" width="7.88671875" bestFit="1" customWidth="1"/>
    <col min="11" max="11" width="8.44140625" bestFit="1" customWidth="1"/>
    <col min="12" max="12" width="6.109375" bestFit="1" customWidth="1"/>
    <col min="13" max="13" width="7.77734375" bestFit="1" customWidth="1"/>
  </cols>
  <sheetData>
    <row r="1" spans="1:16" x14ac:dyDescent="0.3">
      <c r="A1" s="1"/>
      <c r="B1" s="1"/>
      <c r="C1" s="1"/>
      <c r="D1" s="1"/>
      <c r="E1" s="1"/>
      <c r="F1" s="2"/>
      <c r="G1" s="1" t="s">
        <v>0</v>
      </c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spans="1:16" ht="72" x14ac:dyDescent="0.3">
      <c r="A4" s="4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</row>
    <row r="5" spans="1:16" x14ac:dyDescent="0.3">
      <c r="A5" s="6">
        <v>1</v>
      </c>
      <c r="B5" s="6" t="s">
        <v>18</v>
      </c>
      <c r="C5" s="6" t="s">
        <v>19</v>
      </c>
      <c r="D5" s="7">
        <v>85</v>
      </c>
      <c r="E5" s="7">
        <v>91</v>
      </c>
      <c r="F5" s="7">
        <v>88</v>
      </c>
      <c r="G5" s="7">
        <v>95</v>
      </c>
      <c r="H5" s="7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5">
        <f>COUNTA(Table13468[[#This Row],[Mathematics]]:Table13468[[#This Row],[Social Science]])</f>
        <v>5</v>
      </c>
      <c r="N5">
        <f>LEN(Table13468[[#This Row],[First Name]])</f>
        <v>9</v>
      </c>
      <c r="O5" t="str">
        <f>PROPER(Table13468[[#This Row],[First Name]])</f>
        <v>Sanskriti</v>
      </c>
      <c r="P5" t="str">
        <f>UPPER(Table13468[[#This Row],[First Name]])</f>
        <v>SANSKRITI</v>
      </c>
    </row>
    <row r="6" spans="1:16" x14ac:dyDescent="0.3">
      <c r="A6" s="6">
        <v>2</v>
      </c>
      <c r="B6" s="6" t="s">
        <v>20</v>
      </c>
      <c r="C6" s="6" t="s">
        <v>19</v>
      </c>
      <c r="D6" s="7">
        <v>78</v>
      </c>
      <c r="E6" s="7">
        <v>84</v>
      </c>
      <c r="F6" s="7">
        <v>90</v>
      </c>
      <c r="G6" s="7">
        <v>88</v>
      </c>
      <c r="H6" s="7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6">
        <f>COUNTA(Table13468[[#This Row],[Mathematics]]:Table13468[[#This Row],[Social Science]])</f>
        <v>5</v>
      </c>
      <c r="N6">
        <f>LEN(Table13468[[#This Row],[First Name]])</f>
        <v>3</v>
      </c>
      <c r="O6" t="str">
        <f>PROPER(Table13468[[#This Row],[First Name]])</f>
        <v>Anu</v>
      </c>
      <c r="P6" t="str">
        <f>UPPER(Table13468[[#This Row],[First Name]])</f>
        <v>ANU</v>
      </c>
    </row>
    <row r="7" spans="1:16" x14ac:dyDescent="0.3">
      <c r="A7" s="6">
        <v>3</v>
      </c>
      <c r="B7" s="6" t="s">
        <v>21</v>
      </c>
      <c r="C7" s="6" t="s">
        <v>19</v>
      </c>
      <c r="D7" s="7">
        <v>92</v>
      </c>
      <c r="E7" s="7">
        <v>89</v>
      </c>
      <c r="F7" s="7">
        <v>85</v>
      </c>
      <c r="G7" s="7">
        <v>94</v>
      </c>
      <c r="H7" s="7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7">
        <f>COUNTA(Table13468[[#This Row],[Mathematics]]:Table13468[[#This Row],[Social Science]])</f>
        <v>5</v>
      </c>
      <c r="N7">
        <f>LEN(Table13468[[#This Row],[First Name]])</f>
        <v>5</v>
      </c>
      <c r="O7" t="str">
        <f>PROPER(Table13468[[#This Row],[First Name]])</f>
        <v>Shubh</v>
      </c>
      <c r="P7" t="str">
        <f>UPPER(Table13468[[#This Row],[First Name]])</f>
        <v>SHUBH</v>
      </c>
    </row>
    <row r="8" spans="1:16" x14ac:dyDescent="0.3">
      <c r="A8" s="6">
        <v>4</v>
      </c>
      <c r="B8" s="6" t="s">
        <v>22</v>
      </c>
      <c r="C8" s="6" t="s">
        <v>23</v>
      </c>
      <c r="D8" s="7">
        <v>74</v>
      </c>
      <c r="E8" s="7"/>
      <c r="F8" s="7">
        <v>79</v>
      </c>
      <c r="G8" s="7">
        <v>86</v>
      </c>
      <c r="H8" s="7">
        <v>83</v>
      </c>
      <c r="I8">
        <f t="shared" si="0"/>
        <v>322</v>
      </c>
      <c r="J8">
        <f t="shared" si="1"/>
        <v>64.400000000000006</v>
      </c>
      <c r="K8">
        <f t="shared" si="2"/>
        <v>64.400000000000006</v>
      </c>
      <c r="L8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8">
        <f>COUNTA(Table13468[[#This Row],[Mathematics]]:Table13468[[#This Row],[Social Science]])</f>
        <v>4</v>
      </c>
      <c r="N8">
        <f>LEN(Table13468[[#This Row],[First Name]])</f>
        <v>4</v>
      </c>
      <c r="O8" t="str">
        <f>PROPER(Table13468[[#This Row],[First Name]])</f>
        <v>Alok</v>
      </c>
      <c r="P8" t="str">
        <f>UPPER(Table13468[[#This Row],[First Name]])</f>
        <v>ALOK</v>
      </c>
    </row>
    <row r="9" spans="1:16" x14ac:dyDescent="0.3">
      <c r="A9" s="6">
        <v>5</v>
      </c>
      <c r="B9" s="6" t="s">
        <v>24</v>
      </c>
      <c r="C9" s="6" t="s">
        <v>25</v>
      </c>
      <c r="D9" s="7">
        <v>88</v>
      </c>
      <c r="E9" s="7">
        <v>93</v>
      </c>
      <c r="F9" s="7">
        <v>1</v>
      </c>
      <c r="G9" s="7">
        <v>89</v>
      </c>
      <c r="H9" s="7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Fail</v>
      </c>
      <c r="M9">
        <f>COUNTA(Table13468[[#This Row],[Mathematics]]:Table13468[[#This Row],[Social Science]])</f>
        <v>5</v>
      </c>
      <c r="N9">
        <f>LEN(Table13468[[#This Row],[First Name]])</f>
        <v>4</v>
      </c>
      <c r="O9" t="str">
        <f>PROPER(Table13468[[#This Row],[First Name]])</f>
        <v>Riya</v>
      </c>
      <c r="P9" t="str">
        <f>UPPER(Table13468[[#This Row],[First Name]])</f>
        <v>RIYA</v>
      </c>
    </row>
    <row r="11" spans="1:16" x14ac:dyDescent="0.3">
      <c r="F11" s="8" t="s">
        <v>26</v>
      </c>
      <c r="G11">
        <f>COUNT(D5:H5)</f>
        <v>5</v>
      </c>
    </row>
    <row r="13" spans="1:16" x14ac:dyDescent="0.3">
      <c r="F13" s="8" t="s">
        <v>27</v>
      </c>
      <c r="G13">
        <f>COUNTIF(Table13468[Is_Fail],"Pass")</f>
        <v>4</v>
      </c>
    </row>
    <row r="15" spans="1:16" x14ac:dyDescent="0.3">
      <c r="F15" s="8" t="s">
        <v>27</v>
      </c>
      <c r="G15">
        <f>COUNTIF(Table13468[Is_Fail],"Fail")</f>
        <v>1</v>
      </c>
    </row>
    <row r="17" spans="6:7" x14ac:dyDescent="0.3">
      <c r="F17" s="8" t="s">
        <v>28</v>
      </c>
      <c r="G17">
        <f>VLOOKUP(A5,Table13468[#All],6,FALSE)</f>
        <v>88</v>
      </c>
    </row>
  </sheetData>
  <mergeCells count="1">
    <mergeCell ref="A2:P2"/>
  </mergeCells>
  <conditionalFormatting sqref="L5:L9">
    <cfRule type="containsText" dxfId="16" priority="1" operator="containsText" text="Pass">
      <formula>NOT(ISERROR(SEARCH("Pass",L5)))</formula>
    </cfRule>
    <cfRule type="containsText" dxfId="15" priority="2" operator="containsText" text="Fail">
      <formula>NOT(ISERROR(SEARCH("Fail",L5)))</formula>
    </cfRule>
    <cfRule type="containsText" dxfId="14" priority="3" operator="containsText" text="Fail">
      <formula>NOT(ISERROR(SEARCH("Fail",L5)))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2026-09-21T15:49:32Z</dcterms:created>
  <dcterms:modified xsi:type="dcterms:W3CDTF">2026-09-21T15:49:49Z</dcterms:modified>
</cp:coreProperties>
</file>