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13_ncr:1_{1C24331D-F0DB-4391-A045-BADE5DF5B58B}" xr6:coauthVersionLast="47" xr6:coauthVersionMax="47" xr10:uidLastSave="{00000000-0000-0000-0000-000000000000}"/>
  <bookViews>
    <workbookView xWindow="-108" yWindow="-108" windowWidth="23256" windowHeight="13176" xr2:uid="{F477A625-6B33-4E9C-B458-F8EF928ECA29}"/>
  </bookViews>
  <sheets>
    <sheet name="day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O9" i="1" s="1"/>
  <c r="L9" i="1"/>
  <c r="K9" i="1"/>
  <c r="J9" i="1"/>
  <c r="I9" i="1"/>
  <c r="M8" i="1"/>
  <c r="O8" i="1" s="1"/>
  <c r="L8" i="1"/>
  <c r="K8" i="1"/>
  <c r="I8" i="1"/>
  <c r="J8" i="1" s="1"/>
  <c r="M7" i="1"/>
  <c r="O7" i="1" s="1"/>
  <c r="L7" i="1"/>
  <c r="J7" i="1"/>
  <c r="I7" i="1"/>
  <c r="K7" i="1" s="1"/>
  <c r="M6" i="1"/>
  <c r="N6" i="1" s="1"/>
  <c r="L6" i="1"/>
  <c r="I6" i="1"/>
  <c r="K6" i="1" s="1"/>
  <c r="M5" i="1"/>
  <c r="O5" i="1" s="1"/>
  <c r="L5" i="1"/>
  <c r="I5" i="1"/>
  <c r="J5" i="1" s="1"/>
  <c r="O6" i="1" l="1"/>
  <c r="K5" i="1"/>
  <c r="N8" i="1"/>
  <c r="N5" i="1"/>
  <c r="N7" i="1"/>
  <c r="J6" i="1"/>
  <c r="N9" i="1"/>
</calcChain>
</file>

<file path=xl/sharedStrings.xml><?xml version="1.0" encoding="utf-8"?>
<sst xmlns="http://schemas.openxmlformats.org/spreadsheetml/2006/main" count="27" uniqueCount="25">
  <si>
    <t>Day 12</t>
  </si>
  <si>
    <t>Text Joint :Before , After , Split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</si>
  <si>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</si>
  <si>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</si>
  <si>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</si>
  <si>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</si>
  <si>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</si>
  <si>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</si>
  <si>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</si>
  <si>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</si>
  <si>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</si>
  <si>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</si>
  <si>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</si>
  <si>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</si>
  <si>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Full_Name</t>
  </si>
  <si>
    <t>FirstName</t>
  </si>
  <si>
    <t>LastName</t>
  </si>
  <si>
    <t>Sanskriti</t>
  </si>
  <si>
    <t>Saxena</t>
  </si>
  <si>
    <t>Anu</t>
  </si>
  <si>
    <t>Shubh</t>
  </si>
  <si>
    <t>Alok</t>
  </si>
  <si>
    <t>Singh</t>
  </si>
  <si>
    <t>Riya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</si>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</sst>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4DA38-00E4-43BD-BCBB-0D03846687EA}" name="Table1346810111213" displayName="Table1346810111213" ref="A4:O9" totalsRowShown="0" headerRowDxfId="12">
  <autoFilter ref="A4:O9" xr:uid="{A094DA38-00E4-43BD-BCBB-0D03846687EA}"/>
  <tableColumns count="15">
    <tableColumn id="1" xr3:uid="{E75B611A-9B35-442B-82E8-AD5710F3DB51}" name="Student ID" dataDxfId="11"/>
    <tableColumn id="2" xr3:uid="{54861D96-577B-472D-9C50-C34A72586045}" name="First Name" dataDxfId="10"/>
    <tableColumn id="3" xr3:uid="{202EE160-85C1-40E6-BAAA-7FF9628F6AE1}" name="Last Name" dataDxfId="9"/>
    <tableColumn id="4" xr3:uid="{463225E3-6344-4D07-AE9B-A9858E9B7F75}" name="Mathematics" dataDxfId="8"/>
    <tableColumn id="5" xr3:uid="{6CAA31EE-9A14-41E7-9A72-DABFFBA0514C}" name="Science" dataDxfId="7"/>
    <tableColumn id="6" xr3:uid="{B6D484E7-42F0-4A10-844C-2D902BD5AA29}" name="English" dataDxfId="6"/>
    <tableColumn id="7" xr3:uid="{6926C7FF-EAAF-4710-AF3E-09E55A82FE6D}" name="Computer" dataDxfId="5"/>
    <tableColumn id="8" xr3:uid="{08A274C3-C2B4-45AF-AFB4-DA551EE14DCE}" name="Social Science" dataDxfId="4"/>
    <tableColumn id="9" xr3:uid="{4F0F3108-DE37-434B-9F14-74D45F3B9353}" name="Total">
      <calculatedColumnFormula>SUM(D5:H5)</calculatedColumnFormula>
    </tableColumn>
    <tableColumn id="10" xr3:uid="{7C2EEEB6-96FA-470D-8359-5DA32BC9E897}" name="Average">
      <calculatedColumnFormula>I5/5</calculatedColumnFormula>
    </tableColumn>
    <tableColumn id="11" xr3:uid="{918432D6-49A9-4A8D-8E46-587E5F4A77B8}" name="Percentage">
      <calculatedColumnFormula>(I5/500) *100</calculatedColumnFormula>
    </tableColumn>
    <tableColumn id="12" xr3:uid="{F71789AF-409B-4675-BCF7-E971D23FCB57}" name="Is_Fail" dataDxfId="3">
      <calculatedColumnFormula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calculatedColumnFormula>
    </tableColumn>
    <tableColumn id="20" xr3:uid="{C0CA1EA7-4337-4B4A-8AF6-16C43CFD3634}" name="Full_Name" dataDxfId="2">
      <calculatedColumnFormula>_xlfn.TEXTJOIN(" ",TRUE,Table1346810111213[[#This Row],[First Name]],Table1346810111213[[#This Row],[Last Name]])</calculatedColumnFormula>
    </tableColumn>
    <tableColumn id="21" xr3:uid="{AE9CE4C3-45CB-43F3-9282-C79C88F773A8}" name="FirstName" dataDxfId="1">
      <calculatedColumnFormula>LEFT(Table1346810111213[[#This Row],[Full_Name]],FIND(" ",Table1346810111213[[#This Row],[Full_Name]])-1)</calculatedColumnFormula>
    </tableColumn>
    <tableColumn id="22" xr3:uid="{23CBFAE0-D71C-4B53-AD76-E969555FAFF4}" name="LastName" dataDxfId="0">
      <calculatedColumnFormula>RIGHT(Table1346810111213[[#This Row],[Full_Name]],LEN(Table1346810111213[[#This Row],[Full_Name]])-FIND(" ",Table1346810111213[[#This Row],[Full_Name]]))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D020-048E-4833-9899-519A7CBD4E0F}">
  <dimension ref="A1:O9"/>
  <sheetViews>
    <sheetView tabSelected="1" workbookViewId="0">
      <selection activeCell="G17" sqref="G17"/>
    </sheetView>
  </sheetViews>
  <sheetFormatPr defaultRowHeight="14.4" x14ac:dyDescent="0.3"/>
  <cols>
    <col min="13" max="13" width="14.109375" bestFit="1" customWidth="1"/>
  </cols>
  <sheetData>
    <row r="1" spans="1:15" x14ac:dyDescent="0.3">
      <c r="A1" s="1"/>
      <c r="B1" s="1"/>
      <c r="C1" s="1"/>
      <c r="D1" s="1"/>
      <c r="E1" s="1"/>
      <c r="F1" s="2"/>
      <c r="G1" s="1" t="s">
        <v>0</v>
      </c>
      <c r="H1" s="1"/>
      <c r="I1" s="1"/>
      <c r="J1" s="1"/>
      <c r="K1" s="1"/>
      <c r="L1" s="1"/>
      <c r="M1" s="1"/>
    </row>
    <row r="2" spans="1:15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5" ht="28.8" x14ac:dyDescent="0.3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x14ac:dyDescent="0.3">
      <c r="A5" s="6">
        <v>1</v>
      </c>
      <c r="B5" s="6" t="s">
        <v>17</v>
      </c>
      <c r="C5" s="6" t="s">
        <v>18</v>
      </c>
      <c r="D5" s="7">
        <v>85</v>
      </c>
      <c r="E5" s="7">
        <v>91</v>
      </c>
      <c r="F5" s="7">
        <v>88</v>
      </c>
      <c r="G5" s="7">
        <v>95</v>
      </c>
      <c r="H5" s="7">
        <v>82</v>
      </c>
      <c r="I5">
        <f>SUM(D5:H5)</f>
        <v>441</v>
      </c>
      <c r="J5">
        <f>I5/5</f>
        <v>88.2</v>
      </c>
      <c r="K5">
        <f>(I5/500) *100</f>
        <v>88.2</v>
      </c>
      <c r="L5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5" t="str">
        <f>_xlfn.TEXTJOIN(" ",TRUE,Table1346810111213[[#This Row],[First Name]],Table1346810111213[[#This Row],[Last Name]])</f>
        <v>Sanskriti Saxena</v>
      </c>
      <c r="N5" t="str">
        <f>LEFT(Table1346810111213[[#This Row],[Full_Name]],FIND(" ",Table1346810111213[[#This Row],[Full_Name]])-1)</f>
        <v>Sanskriti</v>
      </c>
      <c r="O5" t="str">
        <f>RIGHT(Table1346810111213[[#This Row],[Full_Name]],LEN(Table1346810111213[[#This Row],[Full_Name]])-FIND(" ",Table1346810111213[[#This Row],[Full_Name]]))</f>
        <v>Saxena</v>
      </c>
    </row>
    <row r="6" spans="1:15" x14ac:dyDescent="0.3">
      <c r="A6" s="6">
        <v>2</v>
      </c>
      <c r="B6" s="6" t="s">
        <v>19</v>
      </c>
      <c r="C6" s="6" t="s">
        <v>18</v>
      </c>
      <c r="D6" s="7">
        <v>78</v>
      </c>
      <c r="E6" s="7">
        <v>84</v>
      </c>
      <c r="F6" s="7">
        <v>90</v>
      </c>
      <c r="G6" s="7">
        <v>88</v>
      </c>
      <c r="H6" s="7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  <c r="L6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6" t="str">
        <f>_xlfn.TEXTJOIN(" ",TRUE,Table1346810111213[[#This Row],[First Name]],Table1346810111213[[#This Row],[Last Name]])</f>
        <v>Anu Saxena</v>
      </c>
      <c r="N6" t="str">
        <f>LEFT(Table1346810111213[[#This Row],[Full_Name]],FIND(" ",Table1346810111213[[#This Row],[Full_Name]])-1)</f>
        <v>Anu</v>
      </c>
      <c r="O6" t="str">
        <f>RIGHT(Table1346810111213[[#This Row],[Full_Name]],LEN(Table1346810111213[[#This Row],[Full_Name]])-FIND(" ",Table1346810111213[[#This Row],[Full_Name]]))</f>
        <v>Saxena</v>
      </c>
    </row>
    <row r="7" spans="1:15" x14ac:dyDescent="0.3">
      <c r="A7" s="6">
        <v>3</v>
      </c>
      <c r="B7" s="8" t="s">
        <v>20</v>
      </c>
      <c r="C7" s="6" t="s">
        <v>18</v>
      </c>
      <c r="D7" s="7">
        <v>92</v>
      </c>
      <c r="E7" s="7">
        <v>89</v>
      </c>
      <c r="F7" s="7">
        <v>85</v>
      </c>
      <c r="G7" s="7">
        <v>94</v>
      </c>
      <c r="H7" s="7">
        <v>90</v>
      </c>
      <c r="I7">
        <f t="shared" si="0"/>
        <v>450</v>
      </c>
      <c r="J7">
        <f t="shared" si="1"/>
        <v>90</v>
      </c>
      <c r="K7">
        <f t="shared" si="2"/>
        <v>90</v>
      </c>
      <c r="L7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7" t="str">
        <f>_xlfn.TEXTJOIN(" ",TRUE,Table1346810111213[[#This Row],[First Name]],Table1346810111213[[#This Row],[Last Name]])</f>
        <v>Shubh Saxena</v>
      </c>
      <c r="N7" t="str">
        <f>LEFT(Table1346810111213[[#This Row],[Full_Name]],FIND(" ",Table1346810111213[[#This Row],[Full_Name]])-1)</f>
        <v>Shubh</v>
      </c>
      <c r="O7" t="str">
        <f>RIGHT(Table1346810111213[[#This Row],[Full_Name]],LEN(Table1346810111213[[#This Row],[Full_Name]])-FIND(" ",Table1346810111213[[#This Row],[Full_Name]]))</f>
        <v>Saxena</v>
      </c>
    </row>
    <row r="8" spans="1:15" x14ac:dyDescent="0.3">
      <c r="A8" s="6">
        <v>4</v>
      </c>
      <c r="B8" s="6" t="s">
        <v>21</v>
      </c>
      <c r="C8" s="6" t="s">
        <v>22</v>
      </c>
      <c r="D8" s="7">
        <v>74</v>
      </c>
      <c r="E8" s="7"/>
      <c r="F8" s="7">
        <v>79</v>
      </c>
      <c r="G8" s="7">
        <v>86</v>
      </c>
      <c r="H8" s="7">
        <v>83</v>
      </c>
      <c r="I8">
        <f t="shared" si="0"/>
        <v>322</v>
      </c>
      <c r="J8">
        <f t="shared" si="1"/>
        <v>64.400000000000006</v>
      </c>
      <c r="K8">
        <f t="shared" si="2"/>
        <v>64.400000000000006</v>
      </c>
      <c r="L8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Pass</v>
      </c>
      <c r="M8" t="str">
        <f>_xlfn.TEXTJOIN(" ",TRUE,Table1346810111213[[#This Row],[First Name]],Table1346810111213[[#This Row],[Last Name]])</f>
        <v>Alok Singh</v>
      </c>
      <c r="N8" t="str">
        <f>LEFT(Table1346810111213[[#This Row],[Full_Name]],FIND(" ",Table1346810111213[[#This Row],[Full_Name]])-1)</f>
        <v>Alok</v>
      </c>
      <c r="O8" t="str">
        <f>RIGHT(Table1346810111213[[#This Row],[Full_Name]],LEN(Table1346810111213[[#This Row],[Full_Name]])-FIND(" ",Table1346810111213[[#This Row],[Full_Name]]))</f>
        <v>Singh</v>
      </c>
    </row>
    <row r="9" spans="1:15" x14ac:dyDescent="0.3">
      <c r="A9" s="6">
        <v>5</v>
      </c>
      <c r="B9" s="6" t="s">
        <v>23</v>
      </c>
      <c r="C9" s="6" t="s">
        <v>24</v>
      </c>
      <c r="D9" s="7">
        <v>88</v>
      </c>
      <c r="E9" s="7">
        <v>93</v>
      </c>
      <c r="F9" s="7">
        <v>1</v>
      </c>
      <c r="G9" s="7">
        <v>89</v>
      </c>
      <c r="H9" s="7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  <c r="L9" t="str">
        <f>IF(SUMIF(Table1346810111213[[#This Row],[Mathematics]]:Table1346810111213[[#This Row],[Social Science]],"&gt;=50",Table1346810111213[[#This Row],[Mathematics]]:Table1346810111213[[#This Row],[Social Science]])=SUM(Table1346810111213[[#This Row],[Mathematics]]:Table1346810111213[[#This Row],[Social Science]]),"Pass","Fail")</f>
        <v>Fail</v>
      </c>
      <c r="M9" t="str">
        <f>_xlfn.TEXTJOIN(" ",TRUE,Table1346810111213[[#This Row],[First Name]],Table1346810111213[[#This Row],[Last Name]])</f>
        <v>Riya Pal</v>
      </c>
      <c r="N9" t="str">
        <f>LEFT(Table1346810111213[[#This Row],[Full_Name]],FIND(" ",Table1346810111213[[#This Row],[Full_Name]])-1)</f>
        <v>Riya</v>
      </c>
      <c r="O9" t="str">
        <f>RIGHT(Table1346810111213[[#This Row],[Full_Name]],LEN(Table1346810111213[[#This Row],[Full_Name]])-FIND(" ",Table1346810111213[[#This Row],[Full_Name]]))</f>
        <v>Pal</v>
      </c>
    </row>
  </sheetData>
  <mergeCells count="1">
    <mergeCell ref="A2:M2"/>
  </mergeCells>
  <conditionalFormatting sqref="L5:L9">
    <cfRule type="containsText" dxfId="15" priority="1" operator="containsText" text="Pass">
      <formula>NOT(ISERROR(SEARCH("Pass",L5)))</formula>
    </cfRule>
    <cfRule type="containsText" dxfId="14" priority="2" operator="containsText" text="Fail">
      <formula>NOT(ISERROR(SEARCH("Fail",L5)))</formula>
    </cfRule>
    <cfRule type="containsText" dxfId="13" priority="3" operator="containsText" text="Fail">
      <formula>NOT(ISERROR(SEARCH("Fail",L5)))</formula>
    </cfRule>
  </conditionalFormatting>
  <hyperlinks>
    <hyperlink ref="B7" r:id="rId1" display="Shubh@" xr:uid="{4BE3C53A-34DF-4988-9FA4-809AB9649A1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2026-09-21T15:51:47Z</dcterms:created>
  <dcterms:modified xsi:type="dcterms:W3CDTF">2026-09-21T15:51:59Z</dcterms:modified>
</cp:coreProperties>
</file>