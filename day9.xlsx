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6EE77F90-E0D9-4CE8-B972-8976E01E7B37}" xr6:coauthVersionLast="47" xr6:coauthVersionMax="47" xr10:uidLastSave="{00000000-0000-0000-0000-000000000000}"/>
  <bookViews>
    <workbookView xWindow="-108" yWindow="-108" windowWidth="23256" windowHeight="13176" xr2:uid="{8AB08C41-68A5-4050-B081-267153ABE45B}"/>
  </bookViews>
  <sheets>
    <sheet name="day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  <c r="G13" i="1"/>
  <c r="G11" i="1"/>
  <c r="S9" i="1"/>
  <c r="R9" i="1"/>
  <c r="Q9" i="1"/>
  <c r="P9" i="1"/>
  <c r="O9" i="1"/>
  <c r="N9" i="1"/>
  <c r="M9" i="1"/>
  <c r="L9" i="1"/>
  <c r="I9" i="1"/>
  <c r="J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J6" i="1" s="1"/>
  <c r="S5" i="1"/>
  <c r="R5" i="1"/>
  <c r="Q5" i="1"/>
  <c r="P5" i="1"/>
  <c r="O5" i="1"/>
  <c r="N5" i="1"/>
  <c r="M5" i="1"/>
  <c r="L5" i="1"/>
  <c r="I5" i="1"/>
  <c r="K5" i="1" s="1"/>
  <c r="J7" i="1" l="1"/>
  <c r="K8" i="1"/>
  <c r="K6" i="1"/>
  <c r="K9" i="1"/>
  <c r="J5" i="1"/>
</calcChain>
</file>

<file path=xl/sharedStrings.xml><?xml version="1.0" encoding="utf-8"?>
<sst xmlns="http://schemas.openxmlformats.org/spreadsheetml/2006/main" count="35" uniqueCount="32">
  <si>
    <t>Day 9</t>
  </si>
  <si>
    <t>Overwrite , Remove Space , Remove Special characters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</si>
  <si>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</si>
  <si>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</si>
  <si>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</si>
  <si>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</si>
  <si>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</si>
  <si>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</si>
  <si>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</si>
  <si>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</si>
  <si>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</si>
  <si>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</si>
  <si>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</si>
  <si>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</si>
  <si>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</si>
  <si>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</si>
  <si>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</si>
  <si>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</si>
  <si>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</si>
  <si>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</si>
  <si>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</si>
  <si>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Sanskriti   </t>
  </si>
  <si>
    <t>Saxena</t>
  </si>
  <si>
    <t>Anu</t>
  </si>
  <si>
    <t>Shubh@</t>
  </si>
  <si>
    <t>Alok</t>
  </si>
  <si>
    <t>Singh</t>
  </si>
  <si>
    <t xml:space="preserve">        Riya</t>
  </si>
  <si>
    <t>pal</t>
  </si>
  <si>
    <t>Total Subject</t>
  </si>
  <si>
    <t>No. of Pass Student</t>
  </si>
  <si>
    <t>Find Marks of Sanskriti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</si>
</sst>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35ABE-56E7-4AB9-BC63-7C56E8996F9B}" name="Table1346810" displayName="Table1346810" ref="A4:S9" totalsRowShown="0" headerRowDxfId="16">
  <autoFilter ref="A4:S9" xr:uid="{55235ABE-56E7-4AB9-BC63-7C56E8996F9B}"/>
  <tableColumns count="19">
    <tableColumn id="1" xr3:uid="{E71EC14E-39C2-4D8D-922E-5D5AEDAD959E}" name="Student ID" dataDxfId="15"/>
    <tableColumn id="2" xr3:uid="{4EF62D08-2A66-469D-86FD-1BBA47AD4D65}" name="First Name" dataDxfId="14"/>
    <tableColumn id="3" xr3:uid="{94F30F41-367C-41C9-BFE3-5F857B3881DC}" name="Last Name" dataDxfId="13"/>
    <tableColumn id="4" xr3:uid="{18105F5D-3B67-46B7-A0CE-2BA634DCE15A}" name="Mathematics" dataDxfId="12"/>
    <tableColumn id="5" xr3:uid="{31110D7B-3F44-4614-AF09-38CB9DB8C8D6}" name="Science" dataDxfId="11"/>
    <tableColumn id="6" xr3:uid="{35C4B0E2-48AD-4C4B-9FD5-8B6F56C3A09B}" name="English" dataDxfId="10"/>
    <tableColumn id="7" xr3:uid="{3569F0F5-27BC-4550-A719-58B5ECCC25C2}" name="Computer" dataDxfId="9"/>
    <tableColumn id="8" xr3:uid="{2A1A49FD-DF53-4CA9-BCDA-224335D77C16}" name="Social Science" dataDxfId="8"/>
    <tableColumn id="9" xr3:uid="{C43FBEF2-6E60-416F-A30D-AC66B40541C9}" name="Total">
      <calculatedColumnFormula>SUM(D5:H5)</calculatedColumnFormula>
    </tableColumn>
    <tableColumn id="10" xr3:uid="{AECA4FF9-2480-401B-A33F-26B32E6F6C2E}" name="Average">
      <calculatedColumnFormula>I5/5</calculatedColumnFormula>
    </tableColumn>
    <tableColumn id="11" xr3:uid="{26AF9CFC-5FD4-422B-B146-EDB62C7ED671}" name="Percentage">
      <calculatedColumnFormula>(I5/500) *100</calculatedColumnFormula>
    </tableColumn>
    <tableColumn id="12" xr3:uid="{2EDE8F69-8F1E-43D2-9B11-0B9CF6AA90F1}" name="Is_Fail" dataDxfId="7">
      <calculatedColumnFormula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calculatedColumnFormula>
    </tableColumn>
    <tableColumn id="13" xr3:uid="{CFEA9161-0CCD-4489-A7CD-5A230DD29570}" name="Marks Given in No of Sub" dataDxfId="6">
      <calculatedColumnFormula>COUNTA(Table1346810[[#This Row],[Mathematics]]:Table1346810[[#This Row],[Social Science]])</calculatedColumnFormula>
    </tableColumn>
    <tableColumn id="14" xr3:uid="{AF75507D-2CBE-4C37-9784-07ED30E8A06F}" name="Length of first name" dataDxfId="5">
      <calculatedColumnFormula>LEN(Table1346810[[#This Row],[First Name]])</calculatedColumnFormula>
    </tableColumn>
    <tableColumn id="15" xr3:uid="{C0BF34CA-2811-446E-9460-6B8A9BA02909}" name="Capatilize first letter of first name" dataDxfId="4">
      <calculatedColumnFormula>PROPER(Table1346810[[#This Row],[First Name]])</calculatedColumnFormula>
    </tableColumn>
    <tableColumn id="16" xr3:uid="{16B0B135-4469-464F-A923-FE4F2C37C586}" name="Capatilize all letters of first name" dataDxfId="3">
      <calculatedColumnFormula>UPPER(Table1346810[[#This Row],[First Name]])</calculatedColumnFormula>
    </tableColumn>
    <tableColumn id="17" xr3:uid="{8AC96FA3-47B1-4FEE-B12D-27FB6D683049}" name="Remove special char" dataDxfId="2">
      <calculatedColumnFormula>SUBSTITUTE(Table1346810[[#This Row],[First Name]],"@","")</calculatedColumnFormula>
    </tableColumn>
    <tableColumn id="18" xr3:uid="{1F3199BF-AA4E-46F7-88DF-F9A63F812CEB}" name="Remove space" dataDxfId="1">
      <calculatedColumnFormula>TRIM(Table1346810[[#This Row],[First Name]])</calculatedColumnFormula>
    </tableColumn>
    <tableColumn id="19" xr3:uid="{7F11963E-1945-4B35-BCE1-5D1720666EF7}" name="overwrite(u-&gt;i)" dataDxfId="0">
      <calculatedColumnFormula>SUBSTITUTE(Table1346810[[#This Row],[First Name]],"u","i")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89E8-162E-4A3C-8D4F-5685952161C7}">
  <dimension ref="A1:S17"/>
  <sheetViews>
    <sheetView tabSelected="1" workbookViewId="0">
      <selection activeCell="I20" sqref="I20"/>
    </sheetView>
  </sheetViews>
  <sheetFormatPr defaultRowHeight="14.4" x14ac:dyDescent="0.3"/>
  <cols>
    <col min="1" max="1" width="12.109375" bestFit="1" customWidth="1"/>
    <col min="2" max="3" width="10.44140625" bestFit="1" customWidth="1"/>
    <col min="4" max="4" width="8.21875" bestFit="1" customWidth="1"/>
    <col min="5" max="5" width="7.33203125" bestFit="1" customWidth="1"/>
    <col min="6" max="6" width="28.77734375" bestFit="1" customWidth="1"/>
    <col min="7" max="7" width="8.77734375" bestFit="1" customWidth="1"/>
    <col min="8" max="8" width="7.33203125" bestFit="1" customWidth="1"/>
    <col min="9" max="9" width="5.21875" bestFit="1" customWidth="1"/>
    <col min="10" max="10" width="7.88671875" bestFit="1" customWidth="1"/>
    <col min="11" max="11" width="8.44140625" bestFit="1" customWidth="1"/>
    <col min="12" max="12" width="6.109375" bestFit="1" customWidth="1"/>
    <col min="13" max="13" width="7.77734375" bestFit="1" customWidth="1"/>
  </cols>
  <sheetData>
    <row r="1" spans="1:19" x14ac:dyDescent="0.3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ht="72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spans="1:19" x14ac:dyDescent="0.3">
      <c r="A5" s="6">
        <v>1</v>
      </c>
      <c r="B5" s="6" t="s">
        <v>21</v>
      </c>
      <c r="C5" s="6" t="s">
        <v>22</v>
      </c>
      <c r="D5" s="7">
        <v>85</v>
      </c>
      <c r="E5" s="7">
        <v>91</v>
      </c>
      <c r="F5" s="7">
        <v>88</v>
      </c>
      <c r="G5" s="7">
        <v>95</v>
      </c>
      <c r="H5" s="7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5">
        <f>COUNTA(Table1346810[[#This Row],[Mathematics]]:Table1346810[[#This Row],[Social Science]])</f>
        <v>5</v>
      </c>
      <c r="N5">
        <f>LEN(Table1346810[[#This Row],[First Name]])</f>
        <v>12</v>
      </c>
      <c r="O5" t="str">
        <f>PROPER(Table1346810[[#This Row],[First Name]])</f>
        <v xml:space="preserve">Sanskriti   </v>
      </c>
      <c r="P5" t="str">
        <f>UPPER(Table1346810[[#This Row],[First Name]])</f>
        <v xml:space="preserve">SANSKRITI   </v>
      </c>
      <c r="Q5" t="str">
        <f>SUBSTITUTE(Table1346810[[#This Row],[First Name]],"@","")</f>
        <v xml:space="preserve">Sanskriti   </v>
      </c>
      <c r="R5" t="str">
        <f>TRIM(Table1346810[[#This Row],[First Name]])</f>
        <v>Sanskriti</v>
      </c>
      <c r="S5" t="str">
        <f>SUBSTITUTE(Table1346810[[#This Row],[First Name]],"u","i")</f>
        <v xml:space="preserve">Sanskriti   </v>
      </c>
    </row>
    <row r="6" spans="1:19" x14ac:dyDescent="0.3">
      <c r="A6" s="6">
        <v>2</v>
      </c>
      <c r="B6" s="6" t="s">
        <v>23</v>
      </c>
      <c r="C6" s="6" t="s">
        <v>22</v>
      </c>
      <c r="D6" s="7">
        <v>78</v>
      </c>
      <c r="E6" s="7">
        <v>84</v>
      </c>
      <c r="F6" s="7">
        <v>90</v>
      </c>
      <c r="G6" s="7">
        <v>88</v>
      </c>
      <c r="H6" s="7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6">
        <f>COUNTA(Table1346810[[#This Row],[Mathematics]]:Table1346810[[#This Row],[Social Science]])</f>
        <v>5</v>
      </c>
      <c r="N6">
        <f>LEN(Table1346810[[#This Row],[First Name]])</f>
        <v>3</v>
      </c>
      <c r="O6" t="str">
        <f>PROPER(Table1346810[[#This Row],[First Name]])</f>
        <v>Anu</v>
      </c>
      <c r="P6" t="str">
        <f>UPPER(Table1346810[[#This Row],[First Name]])</f>
        <v>ANU</v>
      </c>
      <c r="Q6" t="str">
        <f>SUBSTITUTE(Table1346810[[#This Row],[First Name]],"@","")</f>
        <v>Anu</v>
      </c>
      <c r="R6" t="str">
        <f>TRIM(Table1346810[[#This Row],[First Name]])</f>
        <v>Anu</v>
      </c>
      <c r="S6" t="str">
        <f>SUBSTITUTE(Table1346810[[#This Row],[First Name]],"u","i")</f>
        <v>Ani</v>
      </c>
    </row>
    <row r="7" spans="1:19" x14ac:dyDescent="0.3">
      <c r="A7" s="6">
        <v>3</v>
      </c>
      <c r="B7" s="8" t="s">
        <v>24</v>
      </c>
      <c r="C7" s="6" t="s">
        <v>22</v>
      </c>
      <c r="D7" s="7">
        <v>92</v>
      </c>
      <c r="E7" s="7">
        <v>89</v>
      </c>
      <c r="F7" s="7">
        <v>85</v>
      </c>
      <c r="G7" s="7">
        <v>94</v>
      </c>
      <c r="H7" s="7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7">
        <f>COUNTA(Table1346810[[#This Row],[Mathematics]]:Table1346810[[#This Row],[Social Science]])</f>
        <v>5</v>
      </c>
      <c r="N7">
        <f>LEN(Table1346810[[#This Row],[First Name]])</f>
        <v>6</v>
      </c>
      <c r="O7" t="str">
        <f>PROPER(Table1346810[[#This Row],[First Name]])</f>
        <v>Shubh@</v>
      </c>
      <c r="P7" t="str">
        <f>UPPER(Table1346810[[#This Row],[First Name]])</f>
        <v>SHUBH@</v>
      </c>
      <c r="Q7" t="str">
        <f>SUBSTITUTE(Table1346810[[#This Row],[First Name]],"@","")</f>
        <v>Shubh</v>
      </c>
      <c r="R7" t="str">
        <f>TRIM(Table1346810[[#This Row],[First Name]])</f>
        <v>Shubh@</v>
      </c>
      <c r="S7" t="str">
        <f>SUBSTITUTE(Table1346810[[#This Row],[First Name]],"u","i")</f>
        <v>Shibh@</v>
      </c>
    </row>
    <row r="8" spans="1:19" x14ac:dyDescent="0.3">
      <c r="A8" s="6">
        <v>4</v>
      </c>
      <c r="B8" s="6" t="s">
        <v>25</v>
      </c>
      <c r="C8" s="6" t="s">
        <v>26</v>
      </c>
      <c r="D8" s="7">
        <v>74</v>
      </c>
      <c r="E8" s="7"/>
      <c r="F8" s="7">
        <v>79</v>
      </c>
      <c r="G8" s="7">
        <v>86</v>
      </c>
      <c r="H8" s="7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8">
        <f>COUNTA(Table1346810[[#This Row],[Mathematics]]:Table1346810[[#This Row],[Social Science]])</f>
        <v>4</v>
      </c>
      <c r="N8">
        <f>LEN(Table1346810[[#This Row],[First Name]])</f>
        <v>4</v>
      </c>
      <c r="O8" t="str">
        <f>PROPER(Table1346810[[#This Row],[First Name]])</f>
        <v>Alok</v>
      </c>
      <c r="P8" t="str">
        <f>UPPER(Table1346810[[#This Row],[First Name]])</f>
        <v>ALOK</v>
      </c>
      <c r="Q8" t="str">
        <f>SUBSTITUTE(Table1346810[[#This Row],[First Name]],"@","")</f>
        <v>Alok</v>
      </c>
      <c r="R8" t="str">
        <f>TRIM(Table1346810[[#This Row],[First Name]])</f>
        <v>Alok</v>
      </c>
      <c r="S8" t="str">
        <f>SUBSTITUTE(Table1346810[[#This Row],[First Name]],"u","i")</f>
        <v>Alok</v>
      </c>
    </row>
    <row r="9" spans="1:19" x14ac:dyDescent="0.3">
      <c r="A9" s="6">
        <v>5</v>
      </c>
      <c r="B9" s="6" t="s">
        <v>27</v>
      </c>
      <c r="C9" s="6" t="s">
        <v>28</v>
      </c>
      <c r="D9" s="7">
        <v>88</v>
      </c>
      <c r="E9" s="7">
        <v>93</v>
      </c>
      <c r="F9" s="7">
        <v>1</v>
      </c>
      <c r="G9" s="7">
        <v>89</v>
      </c>
      <c r="H9" s="7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Fail</v>
      </c>
      <c r="M9">
        <f>COUNTA(Table1346810[[#This Row],[Mathematics]]:Table1346810[[#This Row],[Social Science]])</f>
        <v>5</v>
      </c>
      <c r="N9">
        <f>LEN(Table1346810[[#This Row],[First Name]])</f>
        <v>12</v>
      </c>
      <c r="O9" t="str">
        <f>PROPER(Table1346810[[#This Row],[First Name]])</f>
        <v xml:space="preserve">        Riya</v>
      </c>
      <c r="P9" t="str">
        <f>UPPER(Table1346810[[#This Row],[First Name]])</f>
        <v xml:space="preserve">        RIYA</v>
      </c>
      <c r="Q9" t="str">
        <f>SUBSTITUTE(Table1346810[[#This Row],[First Name]],"@","")</f>
        <v xml:space="preserve">        Riya</v>
      </c>
      <c r="R9" t="str">
        <f>TRIM(Table1346810[[#This Row],[First Name]])</f>
        <v>Riya</v>
      </c>
      <c r="S9" t="str">
        <f>SUBSTITUTE(Table1346810[[#This Row],[First Name]],"u","i")</f>
        <v xml:space="preserve">        Riya</v>
      </c>
    </row>
    <row r="11" spans="1:19" x14ac:dyDescent="0.3">
      <c r="F11" s="9" t="s">
        <v>29</v>
      </c>
      <c r="G11">
        <f>COUNT(D5:H5)</f>
        <v>5</v>
      </c>
    </row>
    <row r="13" spans="1:19" x14ac:dyDescent="0.3">
      <c r="F13" s="9" t="s">
        <v>30</v>
      </c>
      <c r="G13">
        <f>COUNTIF(Table1346810[Is_Fail],"Pass")</f>
        <v>4</v>
      </c>
    </row>
    <row r="15" spans="1:19" x14ac:dyDescent="0.3">
      <c r="F15" s="9" t="s">
        <v>30</v>
      </c>
      <c r="G15">
        <f>COUNTIF(Table1346810[Is_Fail],"Fail")</f>
        <v>1</v>
      </c>
    </row>
    <row r="17" spans="6:7" x14ac:dyDescent="0.3">
      <c r="F17" s="9" t="s">
        <v>31</v>
      </c>
      <c r="G17">
        <f>VLOOKUP(A5,Table1346810[#All],6,FALSE)</f>
        <v>88</v>
      </c>
    </row>
  </sheetData>
  <mergeCells count="1">
    <mergeCell ref="A2:S2"/>
  </mergeCells>
  <conditionalFormatting sqref="L5:L9">
    <cfRule type="containsText" dxfId="19" priority="1" operator="containsText" text="Pass">
      <formula>NOT(ISERROR(SEARCH("Pass",L5)))</formula>
    </cfRule>
    <cfRule type="containsText" dxfId="18" priority="2" operator="containsText" text="Fail">
      <formula>NOT(ISERROR(SEARCH("Fail",L5)))</formula>
    </cfRule>
    <cfRule type="containsText" dxfId="17" priority="3" operator="containsText" text="Fail">
      <formula>NOT(ISERROR(SEARCH("Fail",L5)))</formula>
    </cfRule>
  </conditionalFormatting>
  <hyperlinks>
    <hyperlink ref="B7" r:id="rId1" xr:uid="{6EFA03A6-1EEB-4613-A9AC-DDAF4379869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2026-09-21T15:50:03Z</dcterms:created>
  <dcterms:modified xsi:type="dcterms:W3CDTF">2026-09-21T15:50:16Z</dcterms:modified>
</cp:coreProperties>
</file>